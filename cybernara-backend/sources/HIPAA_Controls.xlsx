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urjya Saha\Downloads\"/>
    </mc:Choice>
  </mc:AlternateContent>
  <xr:revisionPtr revIDLastSave="0" documentId="13_ncr:1_{E861E2FC-DC13-4614-9E01-9A8BC6FA5D1B}" xr6:coauthVersionLast="47" xr6:coauthVersionMax="47" xr10:uidLastSave="{00000000-0000-0000-0000-000000000000}"/>
  <bookViews>
    <workbookView xWindow="-110" yWindow="-110" windowWidth="25820" windowHeight="15500" activeTab="1" xr2:uid="{00000000-000D-0000-FFFF-FFFF00000000}"/>
  </bookViews>
  <sheets>
    <sheet name="Overview" sheetId="1" r:id="rId1"/>
    <sheet name="Standards Matrix" sheetId="2" r:id="rId2"/>
    <sheet name="Compliance Checklist" sheetId="3" r:id="rId3"/>
    <sheet name="Privacy vs Security Rule"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7" i="3" l="1"/>
  <c r="B56" i="3"/>
  <c r="B55" i="3"/>
  <c r="B54" i="3"/>
  <c r="B53" i="3"/>
</calcChain>
</file>

<file path=xl/sharedStrings.xml><?xml version="1.0" encoding="utf-8"?>
<sst xmlns="http://schemas.openxmlformats.org/spreadsheetml/2006/main" count="566" uniqueCount="389">
  <si>
    <t>HIPAA SECURITY RULE – COMPREHENSIVE REFERENCE GUIDE</t>
  </si>
  <si>
    <t>45 CFR Part 160 &amp; Part 164, Subparts A and C  |  Centers for Medicare &amp; Medicaid Services (CMS)</t>
  </si>
  <si>
    <t>PURPOSE &amp; BACKGROUND</t>
  </si>
  <si>
    <t>What is HIPAA Security Rule?</t>
  </si>
  <si>
    <t>The Security Rule (45 CFR Part 160 and Part 164, Subparts A and C) establishes national standards for protecting electronic protected health information (EPHI). It was adopted under the Health Insurance Portability and Accountability Act of 1996 (HIPAA) to implement security safeguards for all covered entities that handle EPHI.</t>
  </si>
  <si>
    <t>Core Security Objectives</t>
  </si>
  <si>
    <t>CONFIDENTIALITY – Ensure EPHI is accessible only by authorized people and processes.
INTEGRITY – Ensure EPHI is not altered or destroyed in an unauthorized manner.
AVAILABILITY – Ensure EPHI can be accessed as needed by authorized persons.</t>
  </si>
  <si>
    <t>Who Must Comply?</t>
  </si>
  <si>
    <t>1. Covered Health Care Providers – Providers transmitting health information electronically.
2. Health Plans – Individual or group plans providing/paying for health care.
3. Health Care Clearinghouses – Entities processing health care transactions.
4. Business Associates – Organizations handling EPHI on behalf of covered entities.</t>
  </si>
  <si>
    <t>Compliance Deadline</t>
  </si>
  <si>
    <t>April 20, 2005 – All covered entities except small health plans.
April 20, 2006 – Small health plans.
Note: Security is an ongoing, dynamic process — not a one-time project.</t>
  </si>
  <si>
    <t>Privacy Rule vs Security Rule</t>
  </si>
  <si>
    <t>Privacy Rule: Applies to ALL forms of PHI (electronic, written, oral). Enforced by OCR/HHS.
Security Rule: Applies ONLY to electronic PHI (EPHI). Enforced by CMS.
Entities compliant with Privacy Rule safeguards may already satisfy some Security Rule requirements.</t>
  </si>
  <si>
    <t>Implementation Specifications</t>
  </si>
  <si>
    <t>REQUIRED (R) – Must be implemented; covered entity must implement policies/procedures as specified.
ADDRESSABLE (A) – Must be assessed for reasonableness. If not implemented, entity must document rationale and implement an equivalent alternative. 'Addressable' does NOT mean optional.</t>
  </si>
  <si>
    <t>Flexibility Principle</t>
  </si>
  <si>
    <t>Standards are technology-neutral and scalable. Covered entities choose security measures appropriate to their size, complexity, capabilities, infrastructure, costs, and risk level. Cost alone is NOT an acceptable reason to skip a required procedure.</t>
  </si>
  <si>
    <t>HIPAA SECURITY STANDARDS – CATEGORY SUMMARY</t>
  </si>
  <si>
    <t>ADMINISTRATIVE SAFEGUARDS
§164.308</t>
  </si>
  <si>
    <t>9 standards covering security management process, assigned responsibility, workforce security, information access management, security awareness &amp; training, incident procedures, contingency plan, evaluation, and business associate contracts.</t>
  </si>
  <si>
    <t>PHYSICAL SAFEGUARDS
§164.310</t>
  </si>
  <si>
    <t>4 standards covering facility access controls, workstation use, workstation security, and device &amp; media controls.</t>
  </si>
  <si>
    <t>TECHNICAL SAFEGUARDS
§164.312</t>
  </si>
  <si>
    <t>5 standards covering access control, audit controls, integrity, person or entity authentication, and transmission security.</t>
  </si>
  <si>
    <t>ORGANIZATIONAL REQUIREMENTS
§164.314</t>
  </si>
  <si>
    <t>Requirements for business associate contracts &amp; other arrangements, plus requirements for group health plans.</t>
  </si>
  <si>
    <t>POLICIES, PROCEDURES &amp; DOCUMENTATION
§164.316</t>
  </si>
  <si>
    <t>Requirements to implement reasonable and appropriate policies/procedures and maintain written documentation of all security decisions and activities.</t>
  </si>
  <si>
    <t>HIPAA SECURITY RULE – COMPLETE STANDARDS &amp; IMPLEMENTATION SPECIFICATIONS MATRIX</t>
  </si>
  <si>
    <t>Category</t>
  </si>
  <si>
    <t>Standard</t>
  </si>
  <si>
    <t>CFR Section</t>
  </si>
  <si>
    <t>Implementation Specification</t>
  </si>
  <si>
    <t>Type</t>
  </si>
  <si>
    <t>Description</t>
  </si>
  <si>
    <t>Key Actions Required</t>
  </si>
  <si>
    <t>Risk Focus</t>
  </si>
  <si>
    <t>Notes</t>
  </si>
  <si>
    <t>ADMINISTRATIVE SAFEGUARDS</t>
  </si>
  <si>
    <t>Security Management Process</t>
  </si>
  <si>
    <t>§164.308(a)(1)</t>
  </si>
  <si>
    <t>Risk Analysis</t>
  </si>
  <si>
    <t>REQUIRED</t>
  </si>
  <si>
    <t>Conduct an accurate and thorough assessment of the potential risks and vulnerabilities to the confidentiality, integrity, and availability of all EPHI held by the covered entity.</t>
  </si>
  <si>
    <t>• Identify where EPHI exists
• Identify threats and vulnerabilities
• Assess current controls
• Determine likelihood and impact
• Document the analysis</t>
  </si>
  <si>
    <t>Unauthorized access, data breaches, system failures</t>
  </si>
  <si>
    <t>Foundation of all HIPAA security compliance; must be repeated periodically</t>
  </si>
  <si>
    <t>Risk Management</t>
  </si>
  <si>
    <t>Implement security measures sufficient to reduce risks and vulnerabilities to a reasonable and appropriate level to comply with the Security Rule general requirements.</t>
  </si>
  <si>
    <t>• Prioritize risks from risk analysis
• Implement controls to mitigate risks
• Monitor effectiveness of controls
• Update measures as needed</t>
  </si>
  <si>
    <t>Residual risk after controls; unmitigated vulnerabilities</t>
  </si>
  <si>
    <t>Must be ongoing; tied directly to risk analysis findings</t>
  </si>
  <si>
    <t>Sanction Policy</t>
  </si>
  <si>
    <t>Apply appropriate sanctions against workforce members who fail to comply with the security policies and procedures of the covered entity.</t>
  </si>
  <si>
    <t>• Define violation categories
• Establish graduated consequences
• Document and enforce sanctions
• Communicate policy to all staff</t>
  </si>
  <si>
    <t>Insider threats, workforce non-compliance</t>
  </si>
  <si>
    <t>Must be written policy; applies to all workforce including contractors</t>
  </si>
  <si>
    <t>Information System Activity Review</t>
  </si>
  <si>
    <t>Implement procedures to regularly review records of information system activity, such as audit logs, access reports, and security incident tracking reports.</t>
  </si>
  <si>
    <t>• Define review frequency
• Review login/logout records
• Analyze access patterns
• Investigate anomalies
• Document review findings</t>
  </si>
  <si>
    <t>Unauthorized access attempts, unusual data access patterns</t>
  </si>
  <si>
    <t>Frequency of review should reflect entity size and risk level</t>
  </si>
  <si>
    <t>Assigned Security Responsibility</t>
  </si>
  <si>
    <t>§164.308(a)(2)</t>
  </si>
  <si>
    <t>Identify the security official who is responsible for the development and implementation of the policies and procedures required by the Security Rule.</t>
  </si>
  <si>
    <t>• Designate a Security Officer (HIPAA Security Officer)
• Define authority and responsibilities
• Document the designation formally</t>
  </si>
  <si>
    <t>Lack of accountability, uncoordinated security efforts</t>
  </si>
  <si>
    <t>Can be same person as Privacy Officer; must have appropriate authority</t>
  </si>
  <si>
    <t>Workforce Security</t>
  </si>
  <si>
    <t>§164.308(a)(3)</t>
  </si>
  <si>
    <t>Authorization and/or Supervision</t>
  </si>
  <si>
    <t>ADDRESSABLE</t>
  </si>
  <si>
    <t>Implement procedures for the authorization and/or supervision of workforce members who work with EPHI or in locations where EPHI might be accessed.</t>
  </si>
  <si>
    <t>• Define who requires supervisory access
• Establish approval workflows
• Document supervision procedures</t>
  </si>
  <si>
    <t>Unauthorized workforce access to EPHI</t>
  </si>
  <si>
    <t>Particularly important for remote workers and contractors</t>
  </si>
  <si>
    <t>Workforce Clearance Procedure</t>
  </si>
  <si>
    <t>Implement procedures to determine that the access of a workforce member to EPHI is appropriate.</t>
  </si>
  <si>
    <t>• Conduct background checks
• Verify credentials
• Match access rights to job responsibilities</t>
  </si>
  <si>
    <t>Hiring of unqualified or malicious personnel</t>
  </si>
  <si>
    <t>Consider role-based access control (RBAC) implementation</t>
  </si>
  <si>
    <t>Termination Procedures</t>
  </si>
  <si>
    <t>Implement procedures for terminating access to EPHI when the employment or contractual arrangement ends, or as required by policy.</t>
  </si>
  <si>
    <t>• Immediate account deactivation on termination
• Key and badge retrieval
• Return of devices and media
• Document termination steps</t>
  </si>
  <si>
    <t>Disgruntled former employees retaining system access</t>
  </si>
  <si>
    <t>Procedures should cover voluntary and involuntary terminations</t>
  </si>
  <si>
    <t>Information Access Management</t>
  </si>
  <si>
    <t>§164.308(a)(4)</t>
  </si>
  <si>
    <t>Isolating Health Care Clearinghouse Functions</t>
  </si>
  <si>
    <t>If a health care clearinghouse is part of a larger organization, the clearinghouse must implement policies and procedures that protect EPHI from unauthorized access by the larger organization.</t>
  </si>
  <si>
    <t>• Separate clearinghouse systems from parent org
• Restrict parent-org access to EPHI
• Document isolation controls</t>
  </si>
  <si>
    <t>EPHI exposure to non-covered components of parent organization</t>
  </si>
  <si>
    <t>Only applies to health care clearinghouses embedded in larger entities</t>
  </si>
  <si>
    <t>Access Authorization</t>
  </si>
  <si>
    <t>Implement policies and procedures for granting access to EPHI, e.g., through access to a workstation, transaction, program, process, or other mechanism.</t>
  </si>
  <si>
    <t>• Define role-based access levels
• Require management approval for access grants
• Maintain access authorization records</t>
  </si>
  <si>
    <t>Unauthorized or excessive system access privileges</t>
  </si>
  <si>
    <t>Principle of least privilege should be applied</t>
  </si>
  <si>
    <t>Access Establishment and Modification</t>
  </si>
  <si>
    <t>Implement policies and procedures that, based upon the covered entity's access authorization policies, establish, document, review, and modify a user's right of access to a workstation, transaction, program, or process.</t>
  </si>
  <si>
    <t>• Create formal access request process
• Review access rights periodically
• Modify access when roles change
• Document all changes</t>
  </si>
  <si>
    <t>Access creep, inappropriate privilege escalation</t>
  </si>
  <si>
    <t>Review frequency should align with organizational change rates</t>
  </si>
  <si>
    <t>Security Awareness and Training</t>
  </si>
  <si>
    <t>§164.308(a)(5)</t>
  </si>
  <si>
    <t>Security Reminders</t>
  </si>
  <si>
    <t>Periodic security updates to all workforce members on current security threats, vulnerabilities, and required protective behaviors.</t>
  </si>
  <si>
    <t>• Send regular security bulletins
• Update staff on new threats
• Conduct phishing awareness campaigns</t>
  </si>
  <si>
    <t>Workforce ignorance of evolving threats</t>
  </si>
  <si>
    <t>Can be email newsletters, intranet posts, or formal memos</t>
  </si>
  <si>
    <t>Protection from Malicious Software</t>
  </si>
  <si>
    <t>Procedures for guarding against, detecting, and reporting malicious software.</t>
  </si>
  <si>
    <t>• Deploy anti-malware/antivirus software
• Keep definitions updated
• Train staff to recognize phishing/malware
• Establish reporting mechanisms</t>
  </si>
  <si>
    <t>Ransomware, viruses, spyware compromising EPHI</t>
  </si>
  <si>
    <t>Applies to all endpoints that access EPHI</t>
  </si>
  <si>
    <t>Log-in Monitoring</t>
  </si>
  <si>
    <t>Procedures for monitoring log-in attempts and reporting discrepancies.</t>
  </si>
  <si>
    <t>• Enable failed login alerting
• Set account lockout thresholds
• Monitor for unusual login patterns
• Review alerts regularly</t>
  </si>
  <si>
    <t>Brute-force attacks, credential stuffing</t>
  </si>
  <si>
    <t>Threshold for lockout should balance security vs. usability</t>
  </si>
  <si>
    <t>Password Management</t>
  </si>
  <si>
    <t>Procedures for creating, changing, and safeguarding passwords.</t>
  </si>
  <si>
    <t>• Enforce password complexity requirements
• Require periodic password changes
• Prohibit password sharing
• Use password managers or MFA</t>
  </si>
  <si>
    <t>Weak passwords, password reuse, credential theft</t>
  </si>
  <si>
    <t>NIST now recommends length over complexity; consider MFA instead</t>
  </si>
  <si>
    <t>Security Incident Procedures</t>
  </si>
  <si>
    <t>§164.308(a)(6)</t>
  </si>
  <si>
    <t>Response and Reporting</t>
  </si>
  <si>
    <t>Identify and respond to suspected or known security incidents; mitigate harmful effects of security incidents to the extent practicable; document security incidents and their outcomes.</t>
  </si>
  <si>
    <t>• Define what constitutes a security incident
• Establish incident response team
• Create response playbooks
• Document all incidents
• Report breaches per Breach Notification Rule</t>
  </si>
  <si>
    <t>Data breaches, unauthorized access, ransomware attacks</t>
  </si>
  <si>
    <t>Must document even minor incidents; feeds into risk management</t>
  </si>
  <si>
    <t>Contingency Plan</t>
  </si>
  <si>
    <t>§164.308(a)(7)</t>
  </si>
  <si>
    <t>Data Backup Plan</t>
  </si>
  <si>
    <t>Establish and implement procedures to create and maintain retrievable exact copies of EPHI.</t>
  </si>
  <si>
    <t>• Define backup frequency (daily/weekly)
• Test backup restoration
• Store backups off-site or in cloud
• Encrypt backup media</t>
  </si>
  <si>
    <t>Data loss from hardware failure, disaster, or ransomware</t>
  </si>
  <si>
    <t>3-2-1 rule: 3 copies, 2 different media, 1 off-site</t>
  </si>
  <si>
    <t>Disaster Recovery Plan</t>
  </si>
  <si>
    <t>Establish and implement procedures to restore any loss of data in the event of a fire, vandalism, natural disaster, or system failure.</t>
  </si>
  <si>
    <t>• Define RTO (Recovery Time Objective)
• Define RPO (Recovery Point Objective)
• Document restoration steps
• Test annually</t>
  </si>
  <si>
    <t>Extended downtime, permanent data loss</t>
  </si>
  <si>
    <t>Should cover all systems housing EPHI</t>
  </si>
  <si>
    <t>Emergency Mode Operation Plan</t>
  </si>
  <si>
    <t>Establish and implement procedures to enable continuation of critical business processes for protection of the security of EPHI while operating in emergency mode.</t>
  </si>
  <si>
    <t>• Identify critical EPHI-dependent processes
• Define manual workarounds
• Ensure emergency access to vital EPHI
• Document and test procedures</t>
  </si>
  <si>
    <t>System unavailability during emergencies affecting patient care</t>
  </si>
  <si>
    <t>Must balance security with clinical necessity in emergencies</t>
  </si>
  <si>
    <t>Testing and Revision Procedures</t>
  </si>
  <si>
    <t>Implement procedures for periodic testing and revision of contingency plans.</t>
  </si>
  <si>
    <t>• Schedule annual (at minimum) tests
• Conduct tabletop exercises
• Perform live failover tests
• Update plans based on test results</t>
  </si>
  <si>
    <t>Untested plans failing during actual emergencies</t>
  </si>
  <si>
    <t>Include all key personnel in testing exercises</t>
  </si>
  <si>
    <t>Applications and Data Criticality Analysis</t>
  </si>
  <si>
    <t>Assess the relative criticality of specific applications and data in support of other contingency plan components.</t>
  </si>
  <si>
    <t>• Inventory all EPHI-touching applications
• Assign criticality tiers
• Prioritize recovery sequence by criticality</t>
  </si>
  <si>
    <t>Non-critical systems diverting recovery resources from critical ones</t>
  </si>
  <si>
    <t>Directly informs disaster recovery prioritization</t>
  </si>
  <si>
    <t>Evaluation</t>
  </si>
  <si>
    <t>§164.308(a)(8)</t>
  </si>
  <si>
    <t>Periodic Evaluation</t>
  </si>
  <si>
    <t>Perform a periodic technical and non-technical evaluation in response to environmental or operational changes affecting the security of EPHI.</t>
  </si>
  <si>
    <t>• Evaluate when significant changes occur
• Assess compliance with Security Rule
• Update risk analysis post-evaluation
• Document evaluation results</t>
  </si>
  <si>
    <t>Compliance drift after technology or organizational changes</t>
  </si>
  <si>
    <t>Should occur at least annually and after significant changes</t>
  </si>
  <si>
    <t>Business Associate Contracts</t>
  </si>
  <si>
    <t>§164.308(b)(1)</t>
  </si>
  <si>
    <t>Written Contract or Other Arrangement</t>
  </si>
  <si>
    <t>Document satisfactory assurances from business associates that they will appropriately safeguard EPHI through a written contract or other arrangement (e.g., memorandum of understanding).</t>
  </si>
  <si>
    <t>• Execute BAA (Business Associate Agreement) before sharing EPHI
• Include required HIPAA security provisions
• Review BAAs periodically
• Terminate if BA cannot meet requirements</t>
  </si>
  <si>
    <t>Third-party data breaches, unsecured EPHI at business associates</t>
  </si>
  <si>
    <t>BAAs must be in place with all vendors/partners handling EPHI</t>
  </si>
  <si>
    <t>PHYSICAL SAFEGUARDS</t>
  </si>
  <si>
    <t>Facility Access Controls</t>
  </si>
  <si>
    <t>§164.310(a)(1)</t>
  </si>
  <si>
    <t>Contingency Operations</t>
  </si>
  <si>
    <t>Establish and implement procedures that allow facility access in support of restoration of lost data under the disaster recovery plan and emergency mode operations plan in the event of an emergency.</t>
  </si>
  <si>
    <t>• Define authorized personnel for emergency access
• Create physical access override procedures
• Document emergency access controls</t>
  </si>
  <si>
    <t>Physical access barriers during disaster recovery operations</t>
  </si>
  <si>
    <t>Must align with contingency and disaster recovery plans</t>
  </si>
  <si>
    <t>Facility Security Plan</t>
  </si>
  <si>
    <t>Implement policies and procedures to safeguard the facility and the equipment therein from unauthorized physical access, tampering, and theft.</t>
  </si>
  <si>
    <t>• Install access control systems (badges, key cards)
• Use security cameras (CCTV)
• Employ security guards where appropriate
• Document facility security measures</t>
  </si>
  <si>
    <t>Unauthorized physical entry, equipment theft, tampering</t>
  </si>
  <si>
    <t>Include server rooms, wiring closets, and all EPHI storage areas</t>
  </si>
  <si>
    <t>Access Control and Validation Procedures</t>
  </si>
  <si>
    <t>Implement procedures to control and validate a person's access to facilities based on their role or function, including visitor control and control of access to software programs for testing and revision.</t>
  </si>
  <si>
    <t>• Maintain visitor logs
• Issue temporary badges to visitors
• Escort visitors in sensitive areas
• Validate access credentials</t>
  </si>
  <si>
    <t>Unauthorized visitors accessing EPHI-containing areas</t>
  </si>
  <si>
    <t>Visitor policies should include escorts in sensitive areas</t>
  </si>
  <si>
    <t>Maintenance Records</t>
  </si>
  <si>
    <t>Implement policies and procedures to document repairs and modifications to the physical components of a facility which are related to security.</t>
  </si>
  <si>
    <t>• Log all maintenance activities
• Record who performed work
• Track dates and nature of repairs
• Review records periodically</t>
  </si>
  <si>
    <t>Unauthorized or undocumented physical modifications</t>
  </si>
  <si>
    <t>Helps demonstrate security control integrity over time</t>
  </si>
  <si>
    <t>Workstation Use</t>
  </si>
  <si>
    <t>§164.310(b)</t>
  </si>
  <si>
    <t>Workstation Use Policy</t>
  </si>
  <si>
    <t>Implement policies and procedures that specify the proper functions to be performed, the manner in which those functions are to be performed, and the physical attributes of the surroundings of a specific workstation or class of workstation that can access EPHI.</t>
  </si>
  <si>
    <t>• Define acceptable workstation uses
• Specify screen lock requirements
• Address positioning to prevent visual exposure (shoulder surfing)
• Include personal device policies</t>
  </si>
  <si>
    <t>EPHI visible to unauthorized persons, improper workstation use</t>
  </si>
  <si>
    <t>Applies to all devices including laptops, tablets, mobile devices</t>
  </si>
  <si>
    <t>Workstation Security</t>
  </si>
  <si>
    <t>§164.310(c)</t>
  </si>
  <si>
    <t>Workstation Security Controls</t>
  </si>
  <si>
    <t>Implement physical safeguards for all workstations that access EPHI to restrict access to authorized users.</t>
  </si>
  <si>
    <t>• Cable locks for portable equipment
• Position screens away from public view
• Require authentication to access workstations
• Use privacy screens where appropriate</t>
  </si>
  <si>
    <t>Theft of workstations, unauthorized physical access to devices</t>
  </si>
  <si>
    <t>Consider encrypted hard drives for all EPHI-accessing workstations</t>
  </si>
  <si>
    <t>Device and Media Controls</t>
  </si>
  <si>
    <t>§164.310(d)(1)</t>
  </si>
  <si>
    <t>Disposal</t>
  </si>
  <si>
    <t>Implement policies and procedures to address the final disposition of EPHI and/or the hardware or electronic media on which it is stored.</t>
  </si>
  <si>
    <t>• Use certified data destruction (NIST 800-88 guidelines)
• Physically destroy drives when needed
• Obtain certificates of destruction
• Document all disposal activities</t>
  </si>
  <si>
    <t>EPHI recovery from improperly disposed media</t>
  </si>
  <si>
    <t>Applies to hard drives, SSDs, USB drives, CDs, tapes, and more</t>
  </si>
  <si>
    <t>Media Re-use</t>
  </si>
  <si>
    <t>Implement procedures for removal of EPHI from electronic media before the media are made available for re-use.</t>
  </si>
  <si>
    <t>• Perform certified data wiping before re-use
• Verify data removal with validation tools
• Document wiping activities</t>
  </si>
  <si>
    <t>Residual EPHI on re-deployed media</t>
  </si>
  <si>
    <t>DOD 5220.22-M or NIST-compliant wiping standards recommended</t>
  </si>
  <si>
    <t>Accountability</t>
  </si>
  <si>
    <t>Maintain a record of the movements of hardware and electronic media and any person responsible therefor.</t>
  </si>
  <si>
    <t>• Maintain hardware asset inventory
• Log device movements and transfers
• Track chain of custody for EPHI-containing media</t>
  </si>
  <si>
    <t>Lost or stolen media containing EPHI</t>
  </si>
  <si>
    <t>Especially important for portable devices and external storage</t>
  </si>
  <si>
    <t>Data Backup and Storage</t>
  </si>
  <si>
    <t>Create a retrievable, exact copy of EPHI, when needed, before movement of equipment.</t>
  </si>
  <si>
    <t>• Back up EPHI before moving hardware
• Verify backup integrity before transport
• Store backups in secure location</t>
  </si>
  <si>
    <t>Data loss during equipment relocation or maintenance</t>
  </si>
  <si>
    <t>Coordinate with administrative contingency plan requirements</t>
  </si>
  <si>
    <t>TECHNICAL SAFEGUARDS</t>
  </si>
  <si>
    <t>Access Control</t>
  </si>
  <si>
    <t>§164.312(a)(1)</t>
  </si>
  <si>
    <t>Unique User Identification</t>
  </si>
  <si>
    <t>Assign a unique name and/or number for identifying and tracking user identity in information systems.</t>
  </si>
  <si>
    <t>• Assign unique user IDs to all individuals
• Prohibit shared accounts
• Disable generic/guest accounts
• Link all activity to individual users</t>
  </si>
  <si>
    <t>Attribution failure, inability to trace EPHI access to individuals</t>
  </si>
  <si>
    <t>Foundation of audit trail integrity; no shared login credentials</t>
  </si>
  <si>
    <t>Emergency Access Procedure</t>
  </si>
  <si>
    <t>Establish and implement as needed procedures for obtaining necessary EPHI during an emergency.</t>
  </si>
  <si>
    <t>• Define break-glass procedures for emergency access
• Require post-emergency review of emergency access
• Document and audit emergency access events</t>
  </si>
  <si>
    <t>Clinical access barriers during system outages</t>
  </si>
  <si>
    <t>Balance security with patient care needs; audit all emergency access</t>
  </si>
  <si>
    <t>Automatic Logoff</t>
  </si>
  <si>
    <t>Implement electronic procedures that terminate an electronic session after a predetermined time of inactivity.</t>
  </si>
  <si>
    <t>• Configure session timeout on all EPHI systems
• Set timeout period appropriate to risk
• Require re-authentication after timeout</t>
  </si>
  <si>
    <t>Unattended sessions exposing EPHI</t>
  </si>
  <si>
    <t>Recommended timeout: 5–15 minutes for clinical workstations</t>
  </si>
  <si>
    <t>Encryption and Decryption</t>
  </si>
  <si>
    <t>Implement a mechanism to encrypt and decrypt EPHI.</t>
  </si>
  <si>
    <t>• Encrypt EPHI at rest (database, file system)
• Encrypt EPHI in transit (TLS 1.2+)
• Manage encryption keys securely
• Document encryption decisions</t>
  </si>
  <si>
    <t>Data exposure from unauthorized access or theft of storage media</t>
  </si>
  <si>
    <t>NIST 800-111 for storage; AES-256 widely accepted standard</t>
  </si>
  <si>
    <t>Audit Controls</t>
  </si>
  <si>
    <t>§164.312(b)</t>
  </si>
  <si>
    <t>Implement hardware, software, and/or procedural mechanisms that record and examine activity in information systems that contain or use EPHI.</t>
  </si>
  <si>
    <t>• Enable audit logging on all EPHI systems
• Capture login/logout events
• Log data access, modification, deletion
• Protect logs from tampering
• Retain logs per policy (min. 6 years)</t>
  </si>
  <si>
    <t>Undetected unauthorized access or data manipulation</t>
  </si>
  <si>
    <t>Log integrity is critical; use SIEM for automated monitoring</t>
  </si>
  <si>
    <t>Integrity</t>
  </si>
  <si>
    <t>§164.312(c)(1)</t>
  </si>
  <si>
    <t>Mechanism to Authenticate EPHI</t>
  </si>
  <si>
    <t>Implement electronic mechanisms to corroborate that EPHI has not been altered or destroyed in an unauthorized manner.</t>
  </si>
  <si>
    <t>• Use hash functions (SHA-256) for data integrity verification
• Implement digital signatures where appropriate
• Verify integrity during transmission</t>
  </si>
  <si>
    <t>Data corruption or tampering going undetected</t>
  </si>
  <si>
    <t>Checksums, message authentication codes (MACs), or digital signatures</t>
  </si>
  <si>
    <t>Person or Entity Authentication</t>
  </si>
  <si>
    <t>§164.312(d)</t>
  </si>
  <si>
    <t>Implement procedures to verify that a person or entity seeking access to EPHI is the one claimed.</t>
  </si>
  <si>
    <t>• Require strong authentication (passwords, MFA, biometrics, tokens)
• Implement multi-factor authentication (MFA) for remote access
• Verify identity before granting access</t>
  </si>
  <si>
    <t>Impersonation, credential compromise, unauthorized system access</t>
  </si>
  <si>
    <t>MFA is highly recommended; FIDO2/WebAuthn for phishing resistance</t>
  </si>
  <si>
    <t>Transmission Security</t>
  </si>
  <si>
    <t>§164.312(e)(1)</t>
  </si>
  <si>
    <t>Integrity Controls</t>
  </si>
  <si>
    <t>Implement security measures to ensure that electronically transmitted EPHI is not improperly modified without detection until disposed of.</t>
  </si>
  <si>
    <t>• Use message integrity protocols (TLS)
• Implement digital signatures for transmitted data
• Detect and alert on data modification in transit</t>
  </si>
  <si>
    <t>Man-in-the-middle attacks altering EPHI in transit</t>
  </si>
  <si>
    <t>TLS 1.2+ with certificate validation protects transmission integrity</t>
  </si>
  <si>
    <t>Encryption</t>
  </si>
  <si>
    <t>Implement a mechanism to encrypt EPHI whenever deemed appropriate.</t>
  </si>
  <si>
    <t>• Use TLS 1.2 or higher for all EPHI in transit
• Encrypt email containing EPHI
• Use VPN for remote access to EPHI systems
• Disable older protocols (SSL, TLS 1.0/1.1)</t>
  </si>
  <si>
    <t>Eavesdropping on EPHI transmitted over networks</t>
  </si>
  <si>
    <t>Encryption makes breached data unusable; may negate breach notification</t>
  </si>
  <si>
    <t>ORGANIZATIONAL REQUIREMENTS</t>
  </si>
  <si>
    <t>§164.314(a)(1)</t>
  </si>
  <si>
    <t>Business Associate Contract Requirements</t>
  </si>
  <si>
    <t>A covered entity may permit a business associate to create, receive, maintain, or transmit EPHI only if the covered entity obtains satisfactory assurances that the BA will appropriately safeguard it.</t>
  </si>
  <si>
    <t>• Include required HIPAA security provisions in BAA
• Require BA to report security incidents
• Require BA to ensure sub-contractors comply
• Review BAAs regularly</t>
  </si>
  <si>
    <t>Third-party EPHI breaches; downstream subcontractor breaches</t>
  </si>
  <si>
    <t>BAA must specify permitted uses and appropriate safeguards</t>
  </si>
  <si>
    <t>Requirements for Group Health Plans</t>
  </si>
  <si>
    <t>§164.314(b)(1)</t>
  </si>
  <si>
    <t>Group Health Plan Requirements</t>
  </si>
  <si>
    <t>A group health plan must ensure that its plan documents provide that the plan sponsor will reasonably and appropriately safeguard EPHI created, received, maintained, or transmitted on behalf of the group health plan.</t>
  </si>
  <si>
    <t>• Amend plan documents to include HIPAA security requirements
• Restrict plan sponsor access to EPHI
• Ensure plan sponsor has adequate safeguards</t>
  </si>
  <si>
    <t>Plan sponsor access to EPHI beyond plan administration purposes</t>
  </si>
  <si>
    <t>Applies to employer-sponsored group health plans</t>
  </si>
  <si>
    <t>POLICIES &amp; PROCEDURES</t>
  </si>
  <si>
    <t>Policies and Procedures</t>
  </si>
  <si>
    <t>§164.316(a)</t>
  </si>
  <si>
    <t>Implement Policies and Procedures</t>
  </si>
  <si>
    <t>Implement reasonable and appropriate policies and procedures to comply with the standards, implementation specifications, and other requirements of the Security Rule.</t>
  </si>
  <si>
    <t>• Document all security policies in writing
• Ensure policies cover all standards
• Communicate policies to all workforce
• Review and update regularly</t>
  </si>
  <si>
    <t>Ad-hoc, undocumented security practices; compliance gaps</t>
  </si>
  <si>
    <t>Policies must be specific to the entity's environment and risks</t>
  </si>
  <si>
    <t>Documentation</t>
  </si>
  <si>
    <t>§164.316(b)(1)</t>
  </si>
  <si>
    <t>Time Limit</t>
  </si>
  <si>
    <t>Retain documentation for 6 years from the date of its creation or the date when it last was in effect, whichever is later.</t>
  </si>
  <si>
    <t>• Establish document retention schedule (6-year minimum)
• Store documents securely
• Include date created and effective dates</t>
  </si>
  <si>
    <t>Loss of compliance evidence; inability to demonstrate historical compliance</t>
  </si>
  <si>
    <t>Applies to all written policies, procedures, analyses, and decisions</t>
  </si>
  <si>
    <t>Availability</t>
  </si>
  <si>
    <t>Make documentation available to those persons responsible for implementing the procedures to which the documentation pertains.</t>
  </si>
  <si>
    <t>• Store policies in accessible repository (intranet, SharePoint)
• Ensure responsible staff can retrieve documentation
• Control access to sensitive security documentation</t>
  </si>
  <si>
    <t>Security decisions not being followed due to inaccessible documentation</t>
  </si>
  <si>
    <t>Consider role-based access to policy documents</t>
  </si>
  <si>
    <t>Updates</t>
  </si>
  <si>
    <t>Review documentation periodically and update as needed in response to environmental or operational changes affecting the security of the EPHI.</t>
  </si>
  <si>
    <t>• Schedule annual policy reviews
• Trigger reviews on: technology changes, incidents, regulatory updates
• Document review dates and approvals</t>
  </si>
  <si>
    <t>Outdated policies failing to address new threats or technologies</t>
  </si>
  <si>
    <t>Link policy update triggers to change management processes</t>
  </si>
  <si>
    <t>HIPAA SECURITY RULE – COMPLIANCE CHECKLIST &amp; STATUS TRACKER</t>
  </si>
  <si>
    <t>Safeguard Category</t>
  </si>
  <si>
    <t>Administrative</t>
  </si>
  <si>
    <t>Isolating Clearinghouse Functions</t>
  </si>
  <si>
    <t>Security Incident Response and Reporting</t>
  </si>
  <si>
    <t>Business Associate Written Contract</t>
  </si>
  <si>
    <t>Physical</t>
  </si>
  <si>
    <t>Contingency Operations (Facility Access)</t>
  </si>
  <si>
    <t>Disposal of EPHI/Media</t>
  </si>
  <si>
    <t>Media Re-use Procedures</t>
  </si>
  <si>
    <t>Device/Media Accountability</t>
  </si>
  <si>
    <t>Data Backup and Storage (Before Move)</t>
  </si>
  <si>
    <t>Technical</t>
  </si>
  <si>
    <t>Encryption and Decryption (at rest)</t>
  </si>
  <si>
    <t>Mechanism to Authenticate EPHI (Integrity)</t>
  </si>
  <si>
    <t>Transmission Integrity Controls</t>
  </si>
  <si>
    <t>Transmission Encryption</t>
  </si>
  <si>
    <t>Organizational</t>
  </si>
  <si>
    <t>Policies &amp; Procedures</t>
  </si>
  <si>
    <t>Implement Written Policies and Procedures</t>
  </si>
  <si>
    <t>Documentation Retention (6 years)</t>
  </si>
  <si>
    <t>Documentation Availability</t>
  </si>
  <si>
    <t>Documentation Updates</t>
  </si>
  <si>
    <t>SUMMARY</t>
  </si>
  <si>
    <t>Total Required Specs:</t>
  </si>
  <si>
    <t>Total Addressable Specs:</t>
  </si>
  <si>
    <t>Implemented:</t>
  </si>
  <si>
    <t>In Progress:</t>
  </si>
  <si>
    <t>Not Started:</t>
  </si>
  <si>
    <t>HIPAA PRIVACY RULE vs. SECURITY RULE – COMPARISON</t>
  </si>
  <si>
    <t>Aspect</t>
  </si>
  <si>
    <t>Privacy Rule</t>
  </si>
  <si>
    <t>Security Rule</t>
  </si>
  <si>
    <t>Scope of PHI</t>
  </si>
  <si>
    <t>Applies to ALL forms of PHI:
• Electronic
• Paper/Written
• Oral</t>
  </si>
  <si>
    <t>Applies ONLY to Electronic PHI (EPHI):
• Created, received, maintained, or transmitted electronically</t>
  </si>
  <si>
    <t>Primary Focus</t>
  </si>
  <si>
    <t>Who may access PHI and under what circumstances (Use &amp; Disclosure standards)</t>
  </si>
  <si>
    <t>How to protect EPHI from unauthorized access, corruption, or loss (Safeguard standards)</t>
  </si>
  <si>
    <t>Enforcing Agency</t>
  </si>
  <si>
    <t>Office for Civil Rights (OCR) within HHS</t>
  </si>
  <si>
    <t>Centers for Medicare &amp; Medicaid Services (CMS)</t>
  </si>
  <si>
    <t>April 14, 2003 (most entities)
April 14, 2004 (small health plans)</t>
  </si>
  <si>
    <t>April 20, 2005 (most entities)
April 20, 2006 (small health plans)</t>
  </si>
  <si>
    <t>Safeguard Requirements</t>
  </si>
  <si>
    <t>General safeguard requirement at §164.530(c):
Must have administrative, technical, and physical safeguards in place.</t>
  </si>
  <si>
    <t>Comprehensive, detailed safeguard requirements organized into:
• Administrative Safeguards (§164.308)
• Physical Safeguards (§164.310)
• Technical Safeguards (§164.312)</t>
  </si>
  <si>
    <t>Individual Rights</t>
  </si>
  <si>
    <t>Grants individuals rights to access, correct, and receive accounting of disclosures of PHI</t>
  </si>
  <si>
    <t>Does not directly grant individual rights; focuses on organizational safeguards for EPHI</t>
  </si>
  <si>
    <t>Implementation Specs</t>
  </si>
  <si>
    <t>Less prescriptive; general principles apply</t>
  </si>
  <si>
    <t>Explicitly categorizes each specification as Required (R) or Addressable (A)</t>
  </si>
  <si>
    <t>Overlap</t>
  </si>
  <si>
    <t>Privacy compliance may address some Security requirements</t>
  </si>
  <si>
    <t>Security compliance supports Privacy Rule requirements; both must be met</t>
  </si>
  <si>
    <t>Business Associates</t>
  </si>
  <si>
    <t>Requires BAA; BAs must comply with applicable Privacy Rule provisions</t>
  </si>
  <si>
    <t>Requires BAA with security provisions; BAs must implement Security Rule safeguards for EPHI</t>
  </si>
  <si>
    <t>Policies and procedures required; 6-year retention</t>
  </si>
  <si>
    <t>Written policies and procedures required; 6-year retention (§164.316)</t>
  </si>
  <si>
    <t>Categories - 5</t>
  </si>
  <si>
    <t>Total Sub Controls(Implementation Specifications) -</t>
  </si>
  <si>
    <t>Total Controls(Standards)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</si>
</sst>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8"/>
      <color rgb="FFFFFFFF"/>
      <name val="Arial"/>
    </font>
    <font>
      <i/>
      <sz val="10"/>
      <color rgb="FFFFFFFF"/>
      <name val="Arial"/>
    </font>
    <font>
      <b/>
      <sz val="11"/>
      <color rgb="FFFFFFFF"/>
      <name val="Arial"/>
    </font>
    <font>
      <b/>
      <sz val="10"/>
      <color rgb="FF1F3864"/>
      <name val="Arial"/>
    </font>
    <font>
      <sz val="10"/>
      <name val="Arial"/>
    </font>
    <font>
      <b/>
      <sz val="12"/>
      <color rgb="FFFFFFFF"/>
      <name val="Arial"/>
    </font>
    <font>
      <b/>
      <sz val="10"/>
      <color rgb="FFFFFFFF"/>
      <name val="Arial"/>
    </font>
    <font>
      <b/>
      <sz val="14"/>
      <color rgb="FFFFFFFF"/>
      <name val="Arial"/>
    </font>
    <font>
      <b/>
      <sz val="9"/>
      <color rgb="FFFFFFFF"/>
      <name val="Arial"/>
    </font>
    <font>
      <b/>
      <sz val="9"/>
      <color rgb="FF1F3864"/>
      <name val="Arial"/>
    </font>
    <font>
      <i/>
      <sz val="9"/>
      <name val="Arial"/>
    </font>
    <font>
      <b/>
      <sz val="9"/>
      <name val="Arial"/>
    </font>
    <font>
      <b/>
      <sz val="9"/>
      <color rgb="FF375623"/>
      <name val="Arial"/>
    </font>
    <font>
      <sz val="9"/>
      <name val="Arial"/>
    </font>
    <font>
      <sz val="9"/>
      <color rgb="FF666666"/>
      <name val="Arial"/>
    </font>
    <font>
      <sz val="9"/>
      <color rgb="FF444444"/>
      <name val="Arial"/>
    </font>
    <font>
      <b/>
      <sz val="9"/>
      <color rgb="FF833C00"/>
      <name val="Arial"/>
    </font>
    <font>
      <b/>
      <sz val="9"/>
      <color rgb="FF2E75B6"/>
      <name val="Arial"/>
    </font>
    <font>
      <b/>
      <sz val="9"/>
      <color rgb="FFC00000"/>
      <name val="Arial"/>
    </font>
    <font>
      <b/>
      <sz val="9"/>
      <color rgb="FF7030A1"/>
      <name val="Arial"/>
    </font>
    <font>
      <sz val="9"/>
      <color rgb="FF000000"/>
      <name val="Arial"/>
    </font>
  </fonts>
  <fills count="17">
    <fill>
      <patternFill patternType="none"/>
    </fill>
    <fill>
      <patternFill patternType="gray125"/>
    </fill>
    <fill>
      <patternFill patternType="solid">
        <fgColor rgb="FF1F3864"/>
      </patternFill>
    </fill>
    <fill>
      <patternFill patternType="solid">
        <fgColor rgb="FF2E75B6"/>
      </patternFill>
    </fill>
    <fill>
      <patternFill patternType="solid">
        <fgColor rgb="FFDEEAF1"/>
      </patternFill>
    </fill>
    <fill>
      <patternFill patternType="solid">
        <fgColor rgb="FFFFFFFF"/>
      </patternFill>
    </fill>
    <fill>
      <patternFill patternType="solid">
        <fgColor rgb="FFF2F2F2"/>
      </patternFill>
    </fill>
    <fill>
      <patternFill patternType="solid">
        <fgColor rgb="FF375623"/>
      </patternFill>
    </fill>
    <fill>
      <patternFill patternType="solid">
        <fgColor rgb="FFC00000"/>
      </patternFill>
    </fill>
    <fill>
      <patternFill patternType="solid">
        <fgColor rgb="FF7030A1"/>
      </patternFill>
    </fill>
    <fill>
      <patternFill patternType="solid">
        <fgColor rgb="FF833C00"/>
      </patternFill>
    </fill>
    <fill>
      <patternFill patternType="solid">
        <fgColor rgb="FFE2EFDA"/>
      </patternFill>
    </fill>
    <fill>
      <patternFill patternType="solid">
        <fgColor rgb="FFFFF2CC"/>
      </patternFill>
    </fill>
    <fill>
      <patternFill patternType="solid">
        <fgColor rgb="FFFFE0E0"/>
      </patternFill>
    </fill>
    <fill>
      <patternFill patternType="solid">
        <fgColor rgb="FFEAE0F7"/>
      </patternFill>
    </fill>
    <fill>
      <patternFill patternType="solid">
        <fgColor theme="0"/>
        <bgColor indexed="64"/>
      </patternFill>
    </fill>
    <fill>
      <patternFill patternType="solid">
        <fgColor theme="3"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6">
    <xf numFmtId="0" fontId="0" fillId="0" borderId="0" xfId="0"/>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12" fillId="11" borderId="1" xfId="0" applyFont="1" applyFill="1" applyBorder="1" applyAlignment="1">
      <alignment horizontal="left" vertical="center" wrapText="1"/>
    </xf>
    <xf numFmtId="0" fontId="13" fillId="11" borderId="1" xfId="0" applyFont="1" applyFill="1" applyBorder="1" applyAlignment="1">
      <alignment horizontal="center" vertical="center" wrapText="1"/>
    </xf>
    <xf numFmtId="0" fontId="14"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15" fillId="6"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7" fillId="12"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8" fillId="4" borderId="1" xfId="0" applyFont="1" applyFill="1" applyBorder="1" applyAlignment="1">
      <alignment horizontal="left" vertical="center"/>
    </xf>
    <xf numFmtId="0" fontId="14" fillId="5" borderId="1" xfId="0" applyFont="1" applyFill="1" applyBorder="1" applyAlignment="1">
      <alignment horizontal="left" vertical="center" wrapText="1"/>
    </xf>
    <xf numFmtId="0" fontId="13" fillId="11" borderId="1" xfId="0" applyFont="1" applyFill="1" applyBorder="1" applyAlignment="1">
      <alignment horizontal="center" vertical="center"/>
    </xf>
    <xf numFmtId="0" fontId="0" fillId="5" borderId="1" xfId="0" applyFill="1" applyBorder="1" applyAlignment="1">
      <alignment horizontal="left" vertical="center" wrapText="1"/>
    </xf>
    <xf numFmtId="0" fontId="17" fillId="12" borderId="1" xfId="0" applyFont="1" applyFill="1" applyBorder="1" applyAlignment="1">
      <alignment horizontal="center" vertical="center"/>
    </xf>
    <xf numFmtId="0" fontId="13" fillId="11" borderId="1" xfId="0" applyFont="1" applyFill="1" applyBorder="1" applyAlignment="1">
      <alignment horizontal="left" vertical="center"/>
    </xf>
    <xf numFmtId="0" fontId="19" fillId="13" borderId="1" xfId="0" applyFont="1" applyFill="1" applyBorder="1" applyAlignment="1">
      <alignment horizontal="left" vertical="center"/>
    </xf>
    <xf numFmtId="0" fontId="20" fillId="14" borderId="1" xfId="0" applyFont="1" applyFill="1" applyBorder="1" applyAlignment="1">
      <alignment horizontal="left" vertical="center"/>
    </xf>
    <xf numFmtId="0" fontId="17" fillId="12" borderId="1" xfId="0" applyFont="1" applyFill="1" applyBorder="1" applyAlignment="1">
      <alignment horizontal="left" vertical="center"/>
    </xf>
    <xf numFmtId="0" fontId="12" fillId="0" borderId="0" xfId="0" applyFont="1"/>
    <xf numFmtId="0" fontId="14" fillId="0" borderId="0" xfId="0" applyFont="1"/>
    <xf numFmtId="0" fontId="10" fillId="4" borderId="1" xfId="0" applyFont="1" applyFill="1" applyBorder="1" applyAlignment="1">
      <alignment horizontal="left" vertical="top"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7" borderId="1" xfId="0" applyFont="1" applyFill="1" applyBorder="1" applyAlignment="1">
      <alignment horizontal="center" vertical="center"/>
    </xf>
    <xf numFmtId="0" fontId="21" fillId="5" borderId="1" xfId="0" applyFont="1" applyFill="1" applyBorder="1" applyAlignment="1">
      <alignment horizontal="left" vertical="top" wrapText="1"/>
    </xf>
    <xf numFmtId="0" fontId="21" fillId="6"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0" borderId="3" xfId="0" applyBorder="1"/>
    <xf numFmtId="0" fontId="0" fillId="0" borderId="2" xfId="0" applyBorder="1"/>
    <xf numFmtId="0" fontId="5" fillId="6"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7" fillId="8"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2" fillId="3" borderId="0" xfId="0" applyFont="1" applyFill="1" applyAlignment="1">
      <alignment horizontal="center" vertical="center"/>
    </xf>
    <xf numFmtId="0" fontId="7" fillId="3"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3" borderId="0" xfId="0" applyFont="1" applyFill="1" applyAlignment="1">
      <alignment horizontal="left" vertical="center"/>
    </xf>
    <xf numFmtId="0" fontId="6" fillId="3" borderId="1" xfId="0" applyFont="1" applyFill="1" applyBorder="1" applyAlignment="1">
      <alignment horizontal="center" vertical="center"/>
    </xf>
    <xf numFmtId="0" fontId="8" fillId="2" borderId="0" xfId="0" applyFont="1" applyFill="1" applyAlignment="1">
      <alignment horizontal="center" vertical="center"/>
    </xf>
    <xf numFmtId="0" fontId="7" fillId="2" borderId="0" xfId="0" applyFont="1" applyFill="1" applyAlignment="1">
      <alignment horizontal="center"/>
    </xf>
    <xf numFmtId="0" fontId="3" fillId="15" borderId="1" xfId="0" applyFont="1" applyFill="1" applyBorder="1" applyAlignment="1">
      <alignment horizontal="center" vertical="center" wrapText="1"/>
    </xf>
    <xf numFmtId="0" fontId="0" fillId="16" borderId="0" xfId="0" applyFill="1"/>
    <xf numFmtId="0" fontId="0" fillId="16"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opLeftCell="A10" workbookViewId="0">
      <selection activeCell="A18" sqref="A18:B18"/>
    </sheetView>
  </sheetViews>
  <sheetFormatPr defaultRowHeight="14.5" x14ac:dyDescent="0.35"/>
  <cols>
    <col min="1" max="8" width="18" customWidth="1"/>
  </cols>
  <sheetData>
    <row r="1" spans="1:8" ht="60" customHeight="1" x14ac:dyDescent="0.35">
      <c r="A1" s="42" t="s">
        <v>0</v>
      </c>
      <c r="B1" s="43"/>
      <c r="C1" s="43"/>
      <c r="D1" s="43"/>
      <c r="E1" s="43"/>
      <c r="F1" s="43"/>
      <c r="G1" s="43"/>
      <c r="H1" s="43"/>
    </row>
    <row r="2" spans="1:8" ht="30" customHeight="1" x14ac:dyDescent="0.35">
      <c r="A2" s="46" t="s">
        <v>1</v>
      </c>
      <c r="B2" s="43"/>
      <c r="C2" s="43"/>
      <c r="D2" s="43"/>
      <c r="E2" s="43"/>
      <c r="F2" s="43"/>
      <c r="G2" s="43"/>
      <c r="H2" s="43"/>
    </row>
    <row r="4" spans="1:8" ht="22" customHeight="1" x14ac:dyDescent="0.35">
      <c r="A4" s="49" t="s">
        <v>2</v>
      </c>
      <c r="B4" s="43"/>
      <c r="C4" s="43"/>
      <c r="D4" s="43"/>
      <c r="E4" s="43"/>
      <c r="F4" s="43"/>
      <c r="G4" s="43"/>
      <c r="H4" s="43"/>
    </row>
    <row r="5" spans="1:8" ht="80" customHeight="1" x14ac:dyDescent="0.35">
      <c r="A5" s="41" t="s">
        <v>3</v>
      </c>
      <c r="B5" s="38"/>
      <c r="C5" s="36" t="s">
        <v>4</v>
      </c>
      <c r="D5" s="37"/>
      <c r="E5" s="37"/>
      <c r="F5" s="37"/>
      <c r="G5" s="37"/>
      <c r="H5" s="38"/>
    </row>
    <row r="6" spans="1:8" ht="80" customHeight="1" x14ac:dyDescent="0.35">
      <c r="A6" s="41" t="s">
        <v>5</v>
      </c>
      <c r="B6" s="38"/>
      <c r="C6" s="36" t="s">
        <v>6</v>
      </c>
      <c r="D6" s="37"/>
      <c r="E6" s="37"/>
      <c r="F6" s="37"/>
      <c r="G6" s="37"/>
      <c r="H6" s="38"/>
    </row>
    <row r="7" spans="1:8" ht="80" customHeight="1" x14ac:dyDescent="0.35">
      <c r="A7" s="41" t="s">
        <v>7</v>
      </c>
      <c r="B7" s="38"/>
      <c r="C7" s="36" t="s">
        <v>8</v>
      </c>
      <c r="D7" s="37"/>
      <c r="E7" s="37"/>
      <c r="F7" s="37"/>
      <c r="G7" s="37"/>
      <c r="H7" s="38"/>
    </row>
    <row r="8" spans="1:8" ht="80" customHeight="1" x14ac:dyDescent="0.35">
      <c r="A8" s="41" t="s">
        <v>9</v>
      </c>
      <c r="B8" s="38"/>
      <c r="C8" s="36" t="s">
        <v>10</v>
      </c>
      <c r="D8" s="37"/>
      <c r="E8" s="37"/>
      <c r="F8" s="37"/>
      <c r="G8" s="37"/>
      <c r="H8" s="38"/>
    </row>
    <row r="9" spans="1:8" ht="80" customHeight="1" x14ac:dyDescent="0.35">
      <c r="A9" s="41" t="s">
        <v>11</v>
      </c>
      <c r="B9" s="38"/>
      <c r="C9" s="36" t="s">
        <v>12</v>
      </c>
      <c r="D9" s="37"/>
      <c r="E9" s="37"/>
      <c r="F9" s="37"/>
      <c r="G9" s="37"/>
      <c r="H9" s="38"/>
    </row>
    <row r="10" spans="1:8" ht="80" customHeight="1" x14ac:dyDescent="0.35">
      <c r="A10" s="41" t="s">
        <v>13</v>
      </c>
      <c r="B10" s="38"/>
      <c r="C10" s="36" t="s">
        <v>14</v>
      </c>
      <c r="D10" s="37"/>
      <c r="E10" s="37"/>
      <c r="F10" s="37"/>
      <c r="G10" s="37"/>
      <c r="H10" s="38"/>
    </row>
    <row r="11" spans="1:8" ht="80" customHeight="1" x14ac:dyDescent="0.35">
      <c r="A11" s="41" t="s">
        <v>15</v>
      </c>
      <c r="B11" s="38"/>
      <c r="C11" s="36" t="s">
        <v>16</v>
      </c>
      <c r="D11" s="37"/>
      <c r="E11" s="37"/>
      <c r="F11" s="37"/>
      <c r="G11" s="37"/>
      <c r="H11" s="38"/>
    </row>
    <row r="13" spans="1:8" ht="22" customHeight="1" x14ac:dyDescent="0.35">
      <c r="A13" s="50" t="s">
        <v>17</v>
      </c>
      <c r="B13" s="43"/>
      <c r="C13" s="43"/>
      <c r="D13" s="43"/>
      <c r="E13" s="43"/>
      <c r="F13" s="43"/>
      <c r="G13" s="43"/>
      <c r="H13" s="43"/>
    </row>
    <row r="14" spans="1:8" ht="55" customHeight="1" x14ac:dyDescent="0.35">
      <c r="A14" s="47" t="s">
        <v>18</v>
      </c>
      <c r="B14" s="38"/>
      <c r="C14" s="39" t="s">
        <v>19</v>
      </c>
      <c r="D14" s="37"/>
      <c r="E14" s="37"/>
      <c r="F14" s="37"/>
      <c r="G14" s="37"/>
      <c r="H14" s="38"/>
    </row>
    <row r="15" spans="1:8" ht="55" customHeight="1" x14ac:dyDescent="0.35">
      <c r="A15" s="40" t="s">
        <v>20</v>
      </c>
      <c r="B15" s="38"/>
      <c r="C15" s="39" t="s">
        <v>21</v>
      </c>
      <c r="D15" s="37"/>
      <c r="E15" s="37"/>
      <c r="F15" s="37"/>
      <c r="G15" s="37"/>
      <c r="H15" s="38"/>
    </row>
    <row r="16" spans="1:8" ht="55" customHeight="1" x14ac:dyDescent="0.35">
      <c r="A16" s="44" t="s">
        <v>22</v>
      </c>
      <c r="B16" s="38"/>
      <c r="C16" s="39" t="s">
        <v>23</v>
      </c>
      <c r="D16" s="37"/>
      <c r="E16" s="37"/>
      <c r="F16" s="37"/>
      <c r="G16" s="37"/>
      <c r="H16" s="38"/>
    </row>
    <row r="17" spans="1:8" ht="55" customHeight="1" x14ac:dyDescent="0.35">
      <c r="A17" s="48" t="s">
        <v>24</v>
      </c>
      <c r="B17" s="38"/>
      <c r="C17" s="39" t="s">
        <v>25</v>
      </c>
      <c r="D17" s="37"/>
      <c r="E17" s="37"/>
      <c r="F17" s="37"/>
      <c r="G17" s="37"/>
      <c r="H17" s="38"/>
    </row>
    <row r="18" spans="1:8" ht="55" customHeight="1" x14ac:dyDescent="0.35">
      <c r="A18" s="45" t="s">
        <v>26</v>
      </c>
      <c r="B18" s="38"/>
      <c r="C18" s="39" t="s">
        <v>27</v>
      </c>
      <c r="D18" s="37"/>
      <c r="E18" s="37"/>
      <c r="F18" s="37"/>
      <c r="G18" s="37"/>
      <c r="H18" s="38"/>
    </row>
  </sheetData>
  <mergeCells count="28">
    <mergeCell ref="C17:H17"/>
    <mergeCell ref="A18:B18"/>
    <mergeCell ref="C7:H7"/>
    <mergeCell ref="A2:H2"/>
    <mergeCell ref="A5:B5"/>
    <mergeCell ref="A14:B14"/>
    <mergeCell ref="C18:H18"/>
    <mergeCell ref="A17:B17"/>
    <mergeCell ref="A8:B8"/>
    <mergeCell ref="C15:H15"/>
    <mergeCell ref="A4:H4"/>
    <mergeCell ref="C6:H6"/>
    <mergeCell ref="C14:H14"/>
    <mergeCell ref="C5:H5"/>
    <mergeCell ref="A10:B10"/>
    <mergeCell ref="A13:H13"/>
    <mergeCell ref="A1:H1"/>
    <mergeCell ref="A6:B6"/>
    <mergeCell ref="C11:H11"/>
    <mergeCell ref="A16:B16"/>
    <mergeCell ref="A7:B7"/>
    <mergeCell ref="C8:H8"/>
    <mergeCell ref="A9:B9"/>
    <mergeCell ref="C10:H10"/>
    <mergeCell ref="C16:H16"/>
    <mergeCell ref="A15:B15"/>
    <mergeCell ref="A11:B11"/>
    <mergeCell ref="C9:H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tabSelected="1" workbookViewId="0">
      <pane ySplit="2" topLeftCell="A3" activePane="bottomLeft" state="frozen"/>
      <selection pane="bottomLeft" sqref="A1:I1"/>
    </sheetView>
  </sheetViews>
  <sheetFormatPr defaultRowHeight="14.5" x14ac:dyDescent="0.35"/>
  <cols>
    <col min="1" max="1" width="32.36328125" customWidth="1"/>
    <col min="2" max="2" width="25.36328125" customWidth="1"/>
    <col min="3" max="3" width="14" customWidth="1"/>
    <col min="4" max="4" width="28" customWidth="1"/>
    <col min="5" max="5" width="16.1796875" customWidth="1"/>
    <col min="6" max="6" width="40" customWidth="1"/>
    <col min="7" max="7" width="38" customWidth="1"/>
    <col min="8" max="8" width="26" customWidth="1"/>
    <col min="9" max="9" width="22" customWidth="1"/>
  </cols>
  <sheetData>
    <row r="1" spans="1:9" ht="40" customHeight="1" x14ac:dyDescent="0.35">
      <c r="A1" s="51" t="s">
        <v>28</v>
      </c>
      <c r="B1" s="43"/>
      <c r="C1" s="43"/>
      <c r="D1" s="43"/>
      <c r="E1" s="43"/>
      <c r="F1" s="43"/>
      <c r="G1" s="43"/>
      <c r="H1" s="43"/>
      <c r="I1" s="43"/>
    </row>
    <row r="2" spans="1:9" ht="30" customHeight="1" x14ac:dyDescent="0.35">
      <c r="A2" s="1" t="s">
        <v>29</v>
      </c>
      <c r="B2" s="1" t="s">
        <v>30</v>
      </c>
      <c r="C2" s="1" t="s">
        <v>31</v>
      </c>
      <c r="D2" s="1" t="s">
        <v>32</v>
      </c>
      <c r="E2" s="1" t="s">
        <v>33</v>
      </c>
      <c r="F2" s="1" t="s">
        <v>34</v>
      </c>
      <c r="G2" s="1" t="s">
        <v>35</v>
      </c>
      <c r="H2" s="1" t="s">
        <v>36</v>
      </c>
      <c r="I2" s="1" t="s">
        <v>37</v>
      </c>
    </row>
    <row r="3" spans="1:9" ht="80" customHeight="1" x14ac:dyDescent="0.35">
      <c r="A3" s="2" t="s">
        <v>38</v>
      </c>
      <c r="B3" s="3" t="s">
        <v>39</v>
      </c>
      <c r="C3" s="4" t="s">
        <v>40</v>
      </c>
      <c r="D3" s="5" t="s">
        <v>41</v>
      </c>
      <c r="E3" s="6" t="s">
        <v>42</v>
      </c>
      <c r="F3" s="7" t="s">
        <v>43</v>
      </c>
      <c r="G3" s="8" t="s">
        <v>44</v>
      </c>
      <c r="H3" s="9" t="s">
        <v>45</v>
      </c>
      <c r="I3" s="10" t="s">
        <v>46</v>
      </c>
    </row>
    <row r="4" spans="1:9" ht="80" customHeight="1" x14ac:dyDescent="0.35">
      <c r="A4" s="11"/>
      <c r="B4" s="12"/>
      <c r="C4" s="4"/>
      <c r="D4" s="5" t="s">
        <v>47</v>
      </c>
      <c r="E4" s="6" t="s">
        <v>42</v>
      </c>
      <c r="F4" s="7" t="s">
        <v>48</v>
      </c>
      <c r="G4" s="8" t="s">
        <v>49</v>
      </c>
      <c r="H4" s="9" t="s">
        <v>50</v>
      </c>
      <c r="I4" s="10" t="s">
        <v>51</v>
      </c>
    </row>
    <row r="5" spans="1:9" ht="80" customHeight="1" x14ac:dyDescent="0.35">
      <c r="A5" s="11"/>
      <c r="B5" s="12"/>
      <c r="C5" s="4"/>
      <c r="D5" s="5" t="s">
        <v>52</v>
      </c>
      <c r="E5" s="6" t="s">
        <v>42</v>
      </c>
      <c r="F5" s="7" t="s">
        <v>53</v>
      </c>
      <c r="G5" s="8" t="s">
        <v>54</v>
      </c>
      <c r="H5" s="9" t="s">
        <v>55</v>
      </c>
      <c r="I5" s="10" t="s">
        <v>56</v>
      </c>
    </row>
    <row r="6" spans="1:9" ht="80" customHeight="1" x14ac:dyDescent="0.35">
      <c r="A6" s="11"/>
      <c r="B6" s="12"/>
      <c r="C6" s="4"/>
      <c r="D6" s="5" t="s">
        <v>57</v>
      </c>
      <c r="E6" s="6" t="s">
        <v>42</v>
      </c>
      <c r="F6" s="7" t="s">
        <v>58</v>
      </c>
      <c r="G6" s="8" t="s">
        <v>59</v>
      </c>
      <c r="H6" s="9" t="s">
        <v>60</v>
      </c>
      <c r="I6" s="10" t="s">
        <v>61</v>
      </c>
    </row>
    <row r="7" spans="1:9" ht="80" customHeight="1" x14ac:dyDescent="0.35">
      <c r="A7" s="11"/>
      <c r="B7" s="3" t="s">
        <v>62</v>
      </c>
      <c r="C7" s="4" t="s">
        <v>63</v>
      </c>
      <c r="D7" s="5" t="s">
        <v>62</v>
      </c>
      <c r="E7" s="6" t="s">
        <v>42</v>
      </c>
      <c r="F7" s="7" t="s">
        <v>64</v>
      </c>
      <c r="G7" s="8" t="s">
        <v>65</v>
      </c>
      <c r="H7" s="9" t="s">
        <v>66</v>
      </c>
      <c r="I7" s="10" t="s">
        <v>67</v>
      </c>
    </row>
    <row r="8" spans="1:9" ht="80" customHeight="1" x14ac:dyDescent="0.35">
      <c r="A8" s="11"/>
      <c r="B8" s="3" t="s">
        <v>68</v>
      </c>
      <c r="C8" s="4" t="s">
        <v>69</v>
      </c>
      <c r="D8" s="13" t="s">
        <v>70</v>
      </c>
      <c r="E8" s="14" t="s">
        <v>71</v>
      </c>
      <c r="F8" s="7" t="s">
        <v>72</v>
      </c>
      <c r="G8" s="8" t="s">
        <v>73</v>
      </c>
      <c r="H8" s="9" t="s">
        <v>74</v>
      </c>
      <c r="I8" s="10" t="s">
        <v>75</v>
      </c>
    </row>
    <row r="9" spans="1:9" ht="80" customHeight="1" x14ac:dyDescent="0.35">
      <c r="A9" s="11"/>
      <c r="B9" s="12"/>
      <c r="C9" s="4"/>
      <c r="D9" s="13" t="s">
        <v>76</v>
      </c>
      <c r="E9" s="14" t="s">
        <v>71</v>
      </c>
      <c r="F9" s="7" t="s">
        <v>77</v>
      </c>
      <c r="G9" s="8" t="s">
        <v>78</v>
      </c>
      <c r="H9" s="9" t="s">
        <v>79</v>
      </c>
      <c r="I9" s="10" t="s">
        <v>80</v>
      </c>
    </row>
    <row r="10" spans="1:9" ht="80" customHeight="1" x14ac:dyDescent="0.35">
      <c r="A10" s="11"/>
      <c r="B10" s="12"/>
      <c r="C10" s="4"/>
      <c r="D10" s="13" t="s">
        <v>81</v>
      </c>
      <c r="E10" s="14" t="s">
        <v>71</v>
      </c>
      <c r="F10" s="7" t="s">
        <v>82</v>
      </c>
      <c r="G10" s="8" t="s">
        <v>83</v>
      </c>
      <c r="H10" s="9" t="s">
        <v>84</v>
      </c>
      <c r="I10" s="10" t="s">
        <v>85</v>
      </c>
    </row>
    <row r="11" spans="1:9" ht="80" customHeight="1" x14ac:dyDescent="0.35">
      <c r="A11" s="11"/>
      <c r="B11" s="3" t="s">
        <v>86</v>
      </c>
      <c r="C11" s="4" t="s">
        <v>87</v>
      </c>
      <c r="D11" s="5" t="s">
        <v>88</v>
      </c>
      <c r="E11" s="6" t="s">
        <v>42</v>
      </c>
      <c r="F11" s="7" t="s">
        <v>89</v>
      </c>
      <c r="G11" s="8" t="s">
        <v>90</v>
      </c>
      <c r="H11" s="9" t="s">
        <v>91</v>
      </c>
      <c r="I11" s="10" t="s">
        <v>92</v>
      </c>
    </row>
    <row r="12" spans="1:9" ht="80" customHeight="1" x14ac:dyDescent="0.35">
      <c r="A12" s="11"/>
      <c r="B12" s="12"/>
      <c r="C12" s="4"/>
      <c r="D12" s="13" t="s">
        <v>93</v>
      </c>
      <c r="E12" s="14" t="s">
        <v>71</v>
      </c>
      <c r="F12" s="7" t="s">
        <v>94</v>
      </c>
      <c r="G12" s="8" t="s">
        <v>95</v>
      </c>
      <c r="H12" s="9" t="s">
        <v>96</v>
      </c>
      <c r="I12" s="10" t="s">
        <v>97</v>
      </c>
    </row>
    <row r="13" spans="1:9" ht="80" customHeight="1" x14ac:dyDescent="0.35">
      <c r="A13" s="11"/>
      <c r="B13" s="12"/>
      <c r="C13" s="4"/>
      <c r="D13" s="13" t="s">
        <v>98</v>
      </c>
      <c r="E13" s="14" t="s">
        <v>71</v>
      </c>
      <c r="F13" s="7" t="s">
        <v>99</v>
      </c>
      <c r="G13" s="8" t="s">
        <v>100</v>
      </c>
      <c r="H13" s="9" t="s">
        <v>101</v>
      </c>
      <c r="I13" s="10" t="s">
        <v>102</v>
      </c>
    </row>
    <row r="14" spans="1:9" ht="80" customHeight="1" x14ac:dyDescent="0.35">
      <c r="A14" s="11"/>
      <c r="B14" s="3" t="s">
        <v>103</v>
      </c>
      <c r="C14" s="4" t="s">
        <v>104</v>
      </c>
      <c r="D14" s="13" t="s">
        <v>105</v>
      </c>
      <c r="E14" s="14" t="s">
        <v>71</v>
      </c>
      <c r="F14" s="7" t="s">
        <v>106</v>
      </c>
      <c r="G14" s="8" t="s">
        <v>107</v>
      </c>
      <c r="H14" s="9" t="s">
        <v>108</v>
      </c>
      <c r="I14" s="10" t="s">
        <v>109</v>
      </c>
    </row>
    <row r="15" spans="1:9" ht="80" customHeight="1" x14ac:dyDescent="0.35">
      <c r="A15" s="11"/>
      <c r="B15" s="12"/>
      <c r="C15" s="4"/>
      <c r="D15" s="13" t="s">
        <v>110</v>
      </c>
      <c r="E15" s="14" t="s">
        <v>71</v>
      </c>
      <c r="F15" s="7" t="s">
        <v>111</v>
      </c>
      <c r="G15" s="8" t="s">
        <v>112</v>
      </c>
      <c r="H15" s="9" t="s">
        <v>113</v>
      </c>
      <c r="I15" s="10" t="s">
        <v>114</v>
      </c>
    </row>
    <row r="16" spans="1:9" ht="80" customHeight="1" x14ac:dyDescent="0.35">
      <c r="A16" s="11"/>
      <c r="B16" s="12"/>
      <c r="C16" s="4"/>
      <c r="D16" s="13" t="s">
        <v>115</v>
      </c>
      <c r="E16" s="14" t="s">
        <v>71</v>
      </c>
      <c r="F16" s="7" t="s">
        <v>116</v>
      </c>
      <c r="G16" s="8" t="s">
        <v>117</v>
      </c>
      <c r="H16" s="9" t="s">
        <v>118</v>
      </c>
      <c r="I16" s="10" t="s">
        <v>119</v>
      </c>
    </row>
    <row r="17" spans="1:9" ht="80" customHeight="1" x14ac:dyDescent="0.35">
      <c r="A17" s="11"/>
      <c r="B17" s="12"/>
      <c r="C17" s="4"/>
      <c r="D17" s="13" t="s">
        <v>120</v>
      </c>
      <c r="E17" s="14" t="s">
        <v>71</v>
      </c>
      <c r="F17" s="7" t="s">
        <v>121</v>
      </c>
      <c r="G17" s="8" t="s">
        <v>122</v>
      </c>
      <c r="H17" s="9" t="s">
        <v>123</v>
      </c>
      <c r="I17" s="10" t="s">
        <v>124</v>
      </c>
    </row>
    <row r="18" spans="1:9" ht="80" customHeight="1" x14ac:dyDescent="0.35">
      <c r="A18" s="11"/>
      <c r="B18" s="3" t="s">
        <v>125</v>
      </c>
      <c r="C18" s="4" t="s">
        <v>126</v>
      </c>
      <c r="D18" s="5" t="s">
        <v>127</v>
      </c>
      <c r="E18" s="6" t="s">
        <v>42</v>
      </c>
      <c r="F18" s="7" t="s">
        <v>128</v>
      </c>
      <c r="G18" s="8" t="s">
        <v>129</v>
      </c>
      <c r="H18" s="9" t="s">
        <v>130</v>
      </c>
      <c r="I18" s="10" t="s">
        <v>131</v>
      </c>
    </row>
    <row r="19" spans="1:9" ht="80" customHeight="1" x14ac:dyDescent="0.35">
      <c r="A19" s="11"/>
      <c r="B19" s="3" t="s">
        <v>132</v>
      </c>
      <c r="C19" s="4" t="s">
        <v>133</v>
      </c>
      <c r="D19" s="5" t="s">
        <v>134</v>
      </c>
      <c r="E19" s="6" t="s">
        <v>42</v>
      </c>
      <c r="F19" s="7" t="s">
        <v>135</v>
      </c>
      <c r="G19" s="8" t="s">
        <v>136</v>
      </c>
      <c r="H19" s="9" t="s">
        <v>137</v>
      </c>
      <c r="I19" s="10" t="s">
        <v>138</v>
      </c>
    </row>
    <row r="20" spans="1:9" ht="80" customHeight="1" x14ac:dyDescent="0.35">
      <c r="A20" s="11"/>
      <c r="B20" s="12"/>
      <c r="C20" s="4"/>
      <c r="D20" s="5" t="s">
        <v>139</v>
      </c>
      <c r="E20" s="6" t="s">
        <v>42</v>
      </c>
      <c r="F20" s="7" t="s">
        <v>140</v>
      </c>
      <c r="G20" s="8" t="s">
        <v>141</v>
      </c>
      <c r="H20" s="9" t="s">
        <v>142</v>
      </c>
      <c r="I20" s="10" t="s">
        <v>143</v>
      </c>
    </row>
    <row r="21" spans="1:9" ht="80" customHeight="1" x14ac:dyDescent="0.35">
      <c r="A21" s="11"/>
      <c r="B21" s="12"/>
      <c r="C21" s="4"/>
      <c r="D21" s="5" t="s">
        <v>144</v>
      </c>
      <c r="E21" s="6" t="s">
        <v>42</v>
      </c>
      <c r="F21" s="7" t="s">
        <v>145</v>
      </c>
      <c r="G21" s="8" t="s">
        <v>146</v>
      </c>
      <c r="H21" s="9" t="s">
        <v>147</v>
      </c>
      <c r="I21" s="10" t="s">
        <v>148</v>
      </c>
    </row>
    <row r="22" spans="1:9" ht="80" customHeight="1" x14ac:dyDescent="0.35">
      <c r="A22" s="11"/>
      <c r="B22" s="12"/>
      <c r="C22" s="4"/>
      <c r="D22" s="13" t="s">
        <v>149</v>
      </c>
      <c r="E22" s="14" t="s">
        <v>71</v>
      </c>
      <c r="F22" s="7" t="s">
        <v>150</v>
      </c>
      <c r="G22" s="8" t="s">
        <v>151</v>
      </c>
      <c r="H22" s="9" t="s">
        <v>152</v>
      </c>
      <c r="I22" s="10" t="s">
        <v>153</v>
      </c>
    </row>
    <row r="23" spans="1:9" ht="80" customHeight="1" x14ac:dyDescent="0.35">
      <c r="A23" s="11"/>
      <c r="B23" s="12"/>
      <c r="C23" s="4"/>
      <c r="D23" s="13" t="s">
        <v>154</v>
      </c>
      <c r="E23" s="14" t="s">
        <v>71</v>
      </c>
      <c r="F23" s="7" t="s">
        <v>155</v>
      </c>
      <c r="G23" s="8" t="s">
        <v>156</v>
      </c>
      <c r="H23" s="9" t="s">
        <v>157</v>
      </c>
      <c r="I23" s="10" t="s">
        <v>158</v>
      </c>
    </row>
    <row r="24" spans="1:9" ht="80" customHeight="1" x14ac:dyDescent="0.35">
      <c r="A24" s="11"/>
      <c r="B24" s="3" t="s">
        <v>159</v>
      </c>
      <c r="C24" s="4" t="s">
        <v>160</v>
      </c>
      <c r="D24" s="5" t="s">
        <v>161</v>
      </c>
      <c r="E24" s="6" t="s">
        <v>42</v>
      </c>
      <c r="F24" s="7" t="s">
        <v>162</v>
      </c>
      <c r="G24" s="8" t="s">
        <v>163</v>
      </c>
      <c r="H24" s="9" t="s">
        <v>164</v>
      </c>
      <c r="I24" s="10" t="s">
        <v>165</v>
      </c>
    </row>
    <row r="25" spans="1:9" ht="80" customHeight="1" x14ac:dyDescent="0.35">
      <c r="A25" s="11"/>
      <c r="B25" s="3" t="s">
        <v>166</v>
      </c>
      <c r="C25" s="4" t="s">
        <v>167</v>
      </c>
      <c r="D25" s="5" t="s">
        <v>168</v>
      </c>
      <c r="E25" s="6" t="s">
        <v>42</v>
      </c>
      <c r="F25" s="7" t="s">
        <v>169</v>
      </c>
      <c r="G25" s="8" t="s">
        <v>170</v>
      </c>
      <c r="H25" s="9" t="s">
        <v>171</v>
      </c>
      <c r="I25" s="10" t="s">
        <v>172</v>
      </c>
    </row>
    <row r="26" spans="1:9" ht="80" customHeight="1" x14ac:dyDescent="0.35">
      <c r="A26" s="15" t="s">
        <v>173</v>
      </c>
      <c r="B26" s="3" t="s">
        <v>174</v>
      </c>
      <c r="C26" s="4" t="s">
        <v>175</v>
      </c>
      <c r="D26" s="13" t="s">
        <v>176</v>
      </c>
      <c r="E26" s="14" t="s">
        <v>71</v>
      </c>
      <c r="F26" s="7" t="s">
        <v>177</v>
      </c>
      <c r="G26" s="8" t="s">
        <v>178</v>
      </c>
      <c r="H26" s="9" t="s">
        <v>179</v>
      </c>
      <c r="I26" s="10" t="s">
        <v>180</v>
      </c>
    </row>
    <row r="27" spans="1:9" ht="80" customHeight="1" x14ac:dyDescent="0.35">
      <c r="A27" s="11"/>
      <c r="B27" s="12"/>
      <c r="C27" s="4"/>
      <c r="D27" s="13" t="s">
        <v>181</v>
      </c>
      <c r="E27" s="14" t="s">
        <v>71</v>
      </c>
      <c r="F27" s="7" t="s">
        <v>182</v>
      </c>
      <c r="G27" s="8" t="s">
        <v>183</v>
      </c>
      <c r="H27" s="9" t="s">
        <v>184</v>
      </c>
      <c r="I27" s="10" t="s">
        <v>185</v>
      </c>
    </row>
    <row r="28" spans="1:9" ht="80" customHeight="1" x14ac:dyDescent="0.35">
      <c r="A28" s="11"/>
      <c r="B28" s="12"/>
      <c r="C28" s="4"/>
      <c r="D28" s="13" t="s">
        <v>186</v>
      </c>
      <c r="E28" s="14" t="s">
        <v>71</v>
      </c>
      <c r="F28" s="7" t="s">
        <v>187</v>
      </c>
      <c r="G28" s="8" t="s">
        <v>188</v>
      </c>
      <c r="H28" s="9" t="s">
        <v>189</v>
      </c>
      <c r="I28" s="10" t="s">
        <v>190</v>
      </c>
    </row>
    <row r="29" spans="1:9" ht="80" customHeight="1" x14ac:dyDescent="0.35">
      <c r="A29" s="11"/>
      <c r="B29" s="12"/>
      <c r="C29" s="4"/>
      <c r="D29" s="13" t="s">
        <v>191</v>
      </c>
      <c r="E29" s="14" t="s">
        <v>71</v>
      </c>
      <c r="F29" s="7" t="s">
        <v>192</v>
      </c>
      <c r="G29" s="8" t="s">
        <v>193</v>
      </c>
      <c r="H29" s="9" t="s">
        <v>194</v>
      </c>
      <c r="I29" s="10" t="s">
        <v>195</v>
      </c>
    </row>
    <row r="30" spans="1:9" ht="80" customHeight="1" x14ac:dyDescent="0.35">
      <c r="A30" s="11"/>
      <c r="B30" s="3" t="s">
        <v>196</v>
      </c>
      <c r="C30" s="4" t="s">
        <v>197</v>
      </c>
      <c r="D30" s="5" t="s">
        <v>198</v>
      </c>
      <c r="E30" s="6" t="s">
        <v>42</v>
      </c>
      <c r="F30" s="7" t="s">
        <v>199</v>
      </c>
      <c r="G30" s="8" t="s">
        <v>200</v>
      </c>
      <c r="H30" s="9" t="s">
        <v>201</v>
      </c>
      <c r="I30" s="10" t="s">
        <v>202</v>
      </c>
    </row>
    <row r="31" spans="1:9" ht="80" customHeight="1" x14ac:dyDescent="0.35">
      <c r="A31" s="11"/>
      <c r="B31" s="3" t="s">
        <v>203</v>
      </c>
      <c r="C31" s="4" t="s">
        <v>204</v>
      </c>
      <c r="D31" s="5" t="s">
        <v>205</v>
      </c>
      <c r="E31" s="6" t="s">
        <v>42</v>
      </c>
      <c r="F31" s="7" t="s">
        <v>206</v>
      </c>
      <c r="G31" s="8" t="s">
        <v>207</v>
      </c>
      <c r="H31" s="9" t="s">
        <v>208</v>
      </c>
      <c r="I31" s="10" t="s">
        <v>209</v>
      </c>
    </row>
    <row r="32" spans="1:9" ht="80" customHeight="1" x14ac:dyDescent="0.35">
      <c r="A32" s="11"/>
      <c r="B32" s="3" t="s">
        <v>210</v>
      </c>
      <c r="C32" s="4" t="s">
        <v>211</v>
      </c>
      <c r="D32" s="5" t="s">
        <v>212</v>
      </c>
      <c r="E32" s="6" t="s">
        <v>42</v>
      </c>
      <c r="F32" s="7" t="s">
        <v>213</v>
      </c>
      <c r="G32" s="8" t="s">
        <v>214</v>
      </c>
      <c r="H32" s="9" t="s">
        <v>215</v>
      </c>
      <c r="I32" s="10" t="s">
        <v>216</v>
      </c>
    </row>
    <row r="33" spans="1:9" ht="80" customHeight="1" x14ac:dyDescent="0.35">
      <c r="A33" s="11"/>
      <c r="B33" s="12"/>
      <c r="C33" s="4"/>
      <c r="D33" s="5" t="s">
        <v>217</v>
      </c>
      <c r="E33" s="6" t="s">
        <v>42</v>
      </c>
      <c r="F33" s="7" t="s">
        <v>218</v>
      </c>
      <c r="G33" s="8" t="s">
        <v>219</v>
      </c>
      <c r="H33" s="9" t="s">
        <v>220</v>
      </c>
      <c r="I33" s="10" t="s">
        <v>221</v>
      </c>
    </row>
    <row r="34" spans="1:9" ht="80" customHeight="1" x14ac:dyDescent="0.35">
      <c r="A34" s="11"/>
      <c r="B34" s="12"/>
      <c r="C34" s="4"/>
      <c r="D34" s="13" t="s">
        <v>222</v>
      </c>
      <c r="E34" s="14" t="s">
        <v>71</v>
      </c>
      <c r="F34" s="7" t="s">
        <v>223</v>
      </c>
      <c r="G34" s="8" t="s">
        <v>224</v>
      </c>
      <c r="H34" s="9" t="s">
        <v>225</v>
      </c>
      <c r="I34" s="10" t="s">
        <v>226</v>
      </c>
    </row>
    <row r="35" spans="1:9" ht="80" customHeight="1" x14ac:dyDescent="0.35">
      <c r="A35" s="11"/>
      <c r="B35" s="12"/>
      <c r="C35" s="4"/>
      <c r="D35" s="13" t="s">
        <v>227</v>
      </c>
      <c r="E35" s="14" t="s">
        <v>71</v>
      </c>
      <c r="F35" s="7" t="s">
        <v>228</v>
      </c>
      <c r="G35" s="8" t="s">
        <v>229</v>
      </c>
      <c r="H35" s="9" t="s">
        <v>230</v>
      </c>
      <c r="I35" s="10" t="s">
        <v>231</v>
      </c>
    </row>
    <row r="36" spans="1:9" ht="80" customHeight="1" x14ac:dyDescent="0.35">
      <c r="A36" s="16" t="s">
        <v>232</v>
      </c>
      <c r="B36" s="3" t="s">
        <v>233</v>
      </c>
      <c r="C36" s="4" t="s">
        <v>234</v>
      </c>
      <c r="D36" s="5" t="s">
        <v>235</v>
      </c>
      <c r="E36" s="6" t="s">
        <v>42</v>
      </c>
      <c r="F36" s="7" t="s">
        <v>236</v>
      </c>
      <c r="G36" s="8" t="s">
        <v>237</v>
      </c>
      <c r="H36" s="9" t="s">
        <v>238</v>
      </c>
      <c r="I36" s="10" t="s">
        <v>239</v>
      </c>
    </row>
    <row r="37" spans="1:9" ht="80" customHeight="1" x14ac:dyDescent="0.35">
      <c r="A37" s="11"/>
      <c r="B37" s="12"/>
      <c r="C37" s="4"/>
      <c r="D37" s="5" t="s">
        <v>240</v>
      </c>
      <c r="E37" s="6" t="s">
        <v>42</v>
      </c>
      <c r="F37" s="7" t="s">
        <v>241</v>
      </c>
      <c r="G37" s="8" t="s">
        <v>242</v>
      </c>
      <c r="H37" s="9" t="s">
        <v>243</v>
      </c>
      <c r="I37" s="10" t="s">
        <v>244</v>
      </c>
    </row>
    <row r="38" spans="1:9" ht="80" customHeight="1" x14ac:dyDescent="0.35">
      <c r="A38" s="11"/>
      <c r="B38" s="12"/>
      <c r="C38" s="4"/>
      <c r="D38" s="13" t="s">
        <v>245</v>
      </c>
      <c r="E38" s="14" t="s">
        <v>71</v>
      </c>
      <c r="F38" s="7" t="s">
        <v>246</v>
      </c>
      <c r="G38" s="8" t="s">
        <v>247</v>
      </c>
      <c r="H38" s="9" t="s">
        <v>248</v>
      </c>
      <c r="I38" s="10" t="s">
        <v>249</v>
      </c>
    </row>
    <row r="39" spans="1:9" ht="80" customHeight="1" x14ac:dyDescent="0.35">
      <c r="A39" s="11"/>
      <c r="B39" s="12"/>
      <c r="C39" s="4"/>
      <c r="D39" s="13" t="s">
        <v>250</v>
      </c>
      <c r="E39" s="14" t="s">
        <v>71</v>
      </c>
      <c r="F39" s="7" t="s">
        <v>251</v>
      </c>
      <c r="G39" s="8" t="s">
        <v>252</v>
      </c>
      <c r="H39" s="9" t="s">
        <v>253</v>
      </c>
      <c r="I39" s="10" t="s">
        <v>254</v>
      </c>
    </row>
    <row r="40" spans="1:9" ht="80" customHeight="1" x14ac:dyDescent="0.35">
      <c r="A40" s="11"/>
      <c r="B40" s="3" t="s">
        <v>255</v>
      </c>
      <c r="C40" s="4" t="s">
        <v>256</v>
      </c>
      <c r="D40" s="5" t="s">
        <v>255</v>
      </c>
      <c r="E40" s="6" t="s">
        <v>42</v>
      </c>
      <c r="F40" s="7" t="s">
        <v>257</v>
      </c>
      <c r="G40" s="8" t="s">
        <v>258</v>
      </c>
      <c r="H40" s="9" t="s">
        <v>259</v>
      </c>
      <c r="I40" s="10" t="s">
        <v>260</v>
      </c>
    </row>
    <row r="41" spans="1:9" ht="80" customHeight="1" x14ac:dyDescent="0.35">
      <c r="A41" s="11"/>
      <c r="B41" s="3" t="s">
        <v>261</v>
      </c>
      <c r="C41" s="4" t="s">
        <v>262</v>
      </c>
      <c r="D41" s="13" t="s">
        <v>263</v>
      </c>
      <c r="E41" s="14" t="s">
        <v>71</v>
      </c>
      <c r="F41" s="7" t="s">
        <v>264</v>
      </c>
      <c r="G41" s="8" t="s">
        <v>265</v>
      </c>
      <c r="H41" s="9" t="s">
        <v>266</v>
      </c>
      <c r="I41" s="10" t="s">
        <v>267</v>
      </c>
    </row>
    <row r="42" spans="1:9" ht="80" customHeight="1" x14ac:dyDescent="0.35">
      <c r="A42" s="11"/>
      <c r="B42" s="3" t="s">
        <v>268</v>
      </c>
      <c r="C42" s="4" t="s">
        <v>269</v>
      </c>
      <c r="D42" s="5" t="s">
        <v>268</v>
      </c>
      <c r="E42" s="6" t="s">
        <v>42</v>
      </c>
      <c r="F42" s="7" t="s">
        <v>270</v>
      </c>
      <c r="G42" s="8" t="s">
        <v>271</v>
      </c>
      <c r="H42" s="9" t="s">
        <v>272</v>
      </c>
      <c r="I42" s="10" t="s">
        <v>273</v>
      </c>
    </row>
    <row r="43" spans="1:9" ht="80" customHeight="1" x14ac:dyDescent="0.35">
      <c r="A43" s="11"/>
      <c r="B43" s="3" t="s">
        <v>274</v>
      </c>
      <c r="C43" s="4" t="s">
        <v>275</v>
      </c>
      <c r="D43" s="13" t="s">
        <v>276</v>
      </c>
      <c r="E43" s="14" t="s">
        <v>71</v>
      </c>
      <c r="F43" s="7" t="s">
        <v>277</v>
      </c>
      <c r="G43" s="8" t="s">
        <v>278</v>
      </c>
      <c r="H43" s="9" t="s">
        <v>279</v>
      </c>
      <c r="I43" s="10" t="s">
        <v>280</v>
      </c>
    </row>
    <row r="44" spans="1:9" ht="80" customHeight="1" x14ac:dyDescent="0.35">
      <c r="A44" s="11"/>
      <c r="B44" s="12"/>
      <c r="C44" s="4"/>
      <c r="D44" s="13" t="s">
        <v>281</v>
      </c>
      <c r="E44" s="14" t="s">
        <v>71</v>
      </c>
      <c r="F44" s="7" t="s">
        <v>282</v>
      </c>
      <c r="G44" s="8" t="s">
        <v>283</v>
      </c>
      <c r="H44" s="9" t="s">
        <v>284</v>
      </c>
      <c r="I44" s="10" t="s">
        <v>285</v>
      </c>
    </row>
    <row r="45" spans="1:9" ht="80" customHeight="1" x14ac:dyDescent="0.35">
      <c r="A45" s="17" t="s">
        <v>286</v>
      </c>
      <c r="B45" s="3" t="s">
        <v>166</v>
      </c>
      <c r="C45" s="4" t="s">
        <v>287</v>
      </c>
      <c r="D45" s="5" t="s">
        <v>288</v>
      </c>
      <c r="E45" s="6" t="s">
        <v>42</v>
      </c>
      <c r="F45" s="7" t="s">
        <v>289</v>
      </c>
      <c r="G45" s="8" t="s">
        <v>290</v>
      </c>
      <c r="H45" s="9" t="s">
        <v>291</v>
      </c>
      <c r="I45" s="10" t="s">
        <v>292</v>
      </c>
    </row>
    <row r="46" spans="1:9" ht="80" customHeight="1" x14ac:dyDescent="0.35">
      <c r="A46" s="11"/>
      <c r="B46" s="3" t="s">
        <v>293</v>
      </c>
      <c r="C46" s="4" t="s">
        <v>294</v>
      </c>
      <c r="D46" s="5" t="s">
        <v>295</v>
      </c>
      <c r="E46" s="6" t="s">
        <v>42</v>
      </c>
      <c r="F46" s="7" t="s">
        <v>296</v>
      </c>
      <c r="G46" s="8" t="s">
        <v>297</v>
      </c>
      <c r="H46" s="9" t="s">
        <v>298</v>
      </c>
      <c r="I46" s="10" t="s">
        <v>299</v>
      </c>
    </row>
    <row r="47" spans="1:9" ht="80" customHeight="1" x14ac:dyDescent="0.35">
      <c r="A47" s="18" t="s">
        <v>300</v>
      </c>
      <c r="B47" s="3" t="s">
        <v>301</v>
      </c>
      <c r="C47" s="4" t="s">
        <v>302</v>
      </c>
      <c r="D47" s="5" t="s">
        <v>303</v>
      </c>
      <c r="E47" s="6" t="s">
        <v>42</v>
      </c>
      <c r="F47" s="7" t="s">
        <v>304</v>
      </c>
      <c r="G47" s="8" t="s">
        <v>305</v>
      </c>
      <c r="H47" s="9" t="s">
        <v>306</v>
      </c>
      <c r="I47" s="10" t="s">
        <v>307</v>
      </c>
    </row>
    <row r="48" spans="1:9" ht="80" customHeight="1" x14ac:dyDescent="0.35">
      <c r="A48" s="11"/>
      <c r="B48" s="3" t="s">
        <v>308</v>
      </c>
      <c r="C48" s="4" t="s">
        <v>309</v>
      </c>
      <c r="D48" s="5" t="s">
        <v>310</v>
      </c>
      <c r="E48" s="6" t="s">
        <v>42</v>
      </c>
      <c r="F48" s="7" t="s">
        <v>311</v>
      </c>
      <c r="G48" s="8" t="s">
        <v>312</v>
      </c>
      <c r="H48" s="9" t="s">
        <v>313</v>
      </c>
      <c r="I48" s="10" t="s">
        <v>314</v>
      </c>
    </row>
    <row r="49" spans="1:9" ht="80" customHeight="1" x14ac:dyDescent="0.35">
      <c r="A49" s="11"/>
      <c r="B49" s="12"/>
      <c r="C49" s="4"/>
      <c r="D49" s="5" t="s">
        <v>315</v>
      </c>
      <c r="E49" s="6" t="s">
        <v>42</v>
      </c>
      <c r="F49" s="7" t="s">
        <v>316</v>
      </c>
      <c r="G49" s="8" t="s">
        <v>317</v>
      </c>
      <c r="H49" s="9" t="s">
        <v>318</v>
      </c>
      <c r="I49" s="10" t="s">
        <v>319</v>
      </c>
    </row>
    <row r="50" spans="1:9" ht="80" customHeight="1" x14ac:dyDescent="0.35">
      <c r="A50" s="11"/>
      <c r="B50" s="12"/>
      <c r="C50" s="4"/>
      <c r="D50" s="5" t="s">
        <v>320</v>
      </c>
      <c r="E50" s="6" t="s">
        <v>42</v>
      </c>
      <c r="F50" s="7" t="s">
        <v>321</v>
      </c>
      <c r="G50" s="8" t="s">
        <v>322</v>
      </c>
      <c r="H50" s="9" t="s">
        <v>323</v>
      </c>
      <c r="I50" s="10" t="s">
        <v>324</v>
      </c>
    </row>
    <row r="52" spans="1:9" x14ac:dyDescent="0.35">
      <c r="A52" s="54" t="s">
        <v>388</v>
      </c>
      <c r="B52" s="54">
        <v>22</v>
      </c>
      <c r="C52" s="54" t="s">
        <v>386</v>
      </c>
    </row>
    <row r="53" spans="1:9" ht="29" x14ac:dyDescent="0.35">
      <c r="A53" s="55" t="s">
        <v>387</v>
      </c>
      <c r="B53" s="54">
        <v>48</v>
      </c>
      <c r="C53" s="54"/>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showGridLines="0" workbookViewId="0">
      <pane ySplit="2" topLeftCell="A93" activePane="bottomLeft" state="frozen"/>
      <selection pane="bottomLeft" activeCell="A52" sqref="A52:B52"/>
    </sheetView>
  </sheetViews>
  <sheetFormatPr defaultRowHeight="14.5" x14ac:dyDescent="0.35"/>
  <cols>
    <col min="1" max="1" width="22" customWidth="1"/>
    <col min="2" max="2" width="30" customWidth="1"/>
    <col min="3" max="3" width="18.453125" customWidth="1"/>
    <col min="4" max="4" width="16" customWidth="1"/>
    <col min="5" max="5" width="20" customWidth="1"/>
    <col min="6" max="6" width="14" customWidth="1"/>
    <col min="7" max="7" width="30" customWidth="1"/>
  </cols>
  <sheetData>
    <row r="1" spans="1:7" ht="40" customHeight="1" x14ac:dyDescent="0.35">
      <c r="A1" s="51" t="s">
        <v>325</v>
      </c>
      <c r="B1" s="43"/>
      <c r="C1" s="43"/>
      <c r="D1" s="43"/>
      <c r="E1" s="43"/>
      <c r="F1" s="43"/>
      <c r="G1" s="43"/>
    </row>
    <row r="2" spans="1:7" ht="25" customHeight="1" x14ac:dyDescent="0.35">
      <c r="A2" s="1" t="s">
        <v>326</v>
      </c>
      <c r="B2" s="1" t="s">
        <v>32</v>
      </c>
      <c r="C2" s="1" t="s">
        <v>33</v>
      </c>
      <c r="D2" s="53"/>
      <c r="E2" s="53"/>
      <c r="F2" s="53"/>
      <c r="G2" s="53"/>
    </row>
    <row r="3" spans="1:7" ht="22" customHeight="1" x14ac:dyDescent="0.35">
      <c r="A3" s="19" t="s">
        <v>327</v>
      </c>
      <c r="B3" s="20" t="s">
        <v>41</v>
      </c>
      <c r="C3" s="21" t="s">
        <v>42</v>
      </c>
      <c r="D3" s="53"/>
      <c r="E3" s="22"/>
      <c r="F3" s="22"/>
      <c r="G3" s="22"/>
    </row>
    <row r="4" spans="1:7" ht="22" customHeight="1" x14ac:dyDescent="0.35">
      <c r="A4" s="19" t="s">
        <v>327</v>
      </c>
      <c r="B4" s="20" t="s">
        <v>47</v>
      </c>
      <c r="C4" s="21" t="s">
        <v>42</v>
      </c>
      <c r="D4" s="53"/>
      <c r="E4" s="22"/>
      <c r="F4" s="22"/>
      <c r="G4" s="22"/>
    </row>
    <row r="5" spans="1:7" ht="22" customHeight="1" x14ac:dyDescent="0.35">
      <c r="A5" s="19" t="s">
        <v>327</v>
      </c>
      <c r="B5" s="20" t="s">
        <v>52</v>
      </c>
      <c r="C5" s="21" t="s">
        <v>42</v>
      </c>
      <c r="D5" s="53"/>
      <c r="E5" s="22"/>
      <c r="F5" s="22"/>
      <c r="G5" s="22"/>
    </row>
    <row r="6" spans="1:7" ht="22" customHeight="1" x14ac:dyDescent="0.35">
      <c r="A6" s="19" t="s">
        <v>327</v>
      </c>
      <c r="B6" s="20" t="s">
        <v>57</v>
      </c>
      <c r="C6" s="21" t="s">
        <v>42</v>
      </c>
      <c r="D6" s="53"/>
      <c r="E6" s="22"/>
      <c r="F6" s="22"/>
      <c r="G6" s="22"/>
    </row>
    <row r="7" spans="1:7" ht="22" customHeight="1" x14ac:dyDescent="0.35">
      <c r="A7" s="19" t="s">
        <v>327</v>
      </c>
      <c r="B7" s="20" t="s">
        <v>62</v>
      </c>
      <c r="C7" s="21" t="s">
        <v>42</v>
      </c>
      <c r="D7" s="53"/>
      <c r="E7" s="22"/>
      <c r="F7" s="22"/>
      <c r="G7" s="22"/>
    </row>
    <row r="8" spans="1:7" ht="22" customHeight="1" x14ac:dyDescent="0.35">
      <c r="A8" s="19" t="s">
        <v>327</v>
      </c>
      <c r="B8" s="20" t="s">
        <v>70</v>
      </c>
      <c r="C8" s="23" t="s">
        <v>71</v>
      </c>
      <c r="D8" s="53"/>
      <c r="E8" s="22"/>
      <c r="F8" s="22"/>
      <c r="G8" s="22"/>
    </row>
    <row r="9" spans="1:7" ht="22" customHeight="1" x14ac:dyDescent="0.35">
      <c r="A9" s="19" t="s">
        <v>327</v>
      </c>
      <c r="B9" s="20" t="s">
        <v>76</v>
      </c>
      <c r="C9" s="23" t="s">
        <v>71</v>
      </c>
      <c r="D9" s="53"/>
      <c r="E9" s="22"/>
      <c r="F9" s="22"/>
      <c r="G9" s="22"/>
    </row>
    <row r="10" spans="1:7" ht="22" customHeight="1" x14ac:dyDescent="0.35">
      <c r="A10" s="19" t="s">
        <v>327</v>
      </c>
      <c r="B10" s="20" t="s">
        <v>81</v>
      </c>
      <c r="C10" s="23" t="s">
        <v>71</v>
      </c>
      <c r="D10" s="53"/>
      <c r="E10" s="22"/>
      <c r="F10" s="22"/>
      <c r="G10" s="22"/>
    </row>
    <row r="11" spans="1:7" ht="22" customHeight="1" x14ac:dyDescent="0.35">
      <c r="A11" s="19" t="s">
        <v>327</v>
      </c>
      <c r="B11" s="20" t="s">
        <v>328</v>
      </c>
      <c r="C11" s="21" t="s">
        <v>42</v>
      </c>
      <c r="D11" s="53"/>
      <c r="E11" s="22"/>
      <c r="F11" s="22"/>
      <c r="G11" s="22"/>
    </row>
    <row r="12" spans="1:7" ht="22" customHeight="1" x14ac:dyDescent="0.35">
      <c r="A12" s="19" t="s">
        <v>327</v>
      </c>
      <c r="B12" s="20" t="s">
        <v>93</v>
      </c>
      <c r="C12" s="23" t="s">
        <v>71</v>
      </c>
      <c r="D12" s="53"/>
      <c r="E12" s="22"/>
      <c r="F12" s="22"/>
      <c r="G12" s="22"/>
    </row>
    <row r="13" spans="1:7" ht="22" customHeight="1" x14ac:dyDescent="0.35">
      <c r="A13" s="19" t="s">
        <v>327</v>
      </c>
      <c r="B13" s="20" t="s">
        <v>98</v>
      </c>
      <c r="C13" s="23" t="s">
        <v>71</v>
      </c>
      <c r="D13" s="53"/>
      <c r="E13" s="22"/>
      <c r="F13" s="22"/>
      <c r="G13" s="22"/>
    </row>
    <row r="14" spans="1:7" ht="22" customHeight="1" x14ac:dyDescent="0.35">
      <c r="A14" s="19" t="s">
        <v>327</v>
      </c>
      <c r="B14" s="20" t="s">
        <v>105</v>
      </c>
      <c r="C14" s="23" t="s">
        <v>71</v>
      </c>
      <c r="D14" s="53"/>
      <c r="E14" s="22"/>
      <c r="F14" s="22"/>
      <c r="G14" s="22"/>
    </row>
    <row r="15" spans="1:7" ht="22" customHeight="1" x14ac:dyDescent="0.35">
      <c r="A15" s="19" t="s">
        <v>327</v>
      </c>
      <c r="B15" s="20" t="s">
        <v>110</v>
      </c>
      <c r="C15" s="23" t="s">
        <v>71</v>
      </c>
      <c r="D15" s="53"/>
      <c r="E15" s="22"/>
      <c r="F15" s="22"/>
      <c r="G15" s="22"/>
    </row>
    <row r="16" spans="1:7" ht="22" customHeight="1" x14ac:dyDescent="0.35">
      <c r="A16" s="19" t="s">
        <v>327</v>
      </c>
      <c r="B16" s="20" t="s">
        <v>115</v>
      </c>
      <c r="C16" s="23" t="s">
        <v>71</v>
      </c>
      <c r="D16" s="53"/>
      <c r="E16" s="22"/>
      <c r="F16" s="22"/>
      <c r="G16" s="22"/>
    </row>
    <row r="17" spans="1:7" ht="22" customHeight="1" x14ac:dyDescent="0.35">
      <c r="A17" s="19" t="s">
        <v>327</v>
      </c>
      <c r="B17" s="20" t="s">
        <v>120</v>
      </c>
      <c r="C17" s="23" t="s">
        <v>71</v>
      </c>
      <c r="D17" s="53"/>
      <c r="E17" s="22"/>
      <c r="F17" s="22"/>
      <c r="G17" s="22"/>
    </row>
    <row r="18" spans="1:7" ht="22" customHeight="1" x14ac:dyDescent="0.35">
      <c r="A18" s="19" t="s">
        <v>327</v>
      </c>
      <c r="B18" s="20" t="s">
        <v>329</v>
      </c>
      <c r="C18" s="21" t="s">
        <v>42</v>
      </c>
      <c r="D18" s="53"/>
      <c r="E18" s="22"/>
      <c r="F18" s="22"/>
      <c r="G18" s="22"/>
    </row>
    <row r="19" spans="1:7" ht="22" customHeight="1" x14ac:dyDescent="0.35">
      <c r="A19" s="19" t="s">
        <v>327</v>
      </c>
      <c r="B19" s="20" t="s">
        <v>134</v>
      </c>
      <c r="C19" s="21" t="s">
        <v>42</v>
      </c>
      <c r="D19" s="53"/>
      <c r="E19" s="22"/>
      <c r="F19" s="22"/>
      <c r="G19" s="22"/>
    </row>
    <row r="20" spans="1:7" ht="22" customHeight="1" x14ac:dyDescent="0.35">
      <c r="A20" s="19" t="s">
        <v>327</v>
      </c>
      <c r="B20" s="20" t="s">
        <v>139</v>
      </c>
      <c r="C20" s="21" t="s">
        <v>42</v>
      </c>
      <c r="D20" s="53"/>
      <c r="E20" s="22"/>
      <c r="F20" s="22"/>
      <c r="G20" s="22"/>
    </row>
    <row r="21" spans="1:7" ht="22" customHeight="1" x14ac:dyDescent="0.35">
      <c r="A21" s="19" t="s">
        <v>327</v>
      </c>
      <c r="B21" s="20" t="s">
        <v>144</v>
      </c>
      <c r="C21" s="21" t="s">
        <v>42</v>
      </c>
      <c r="D21" s="53"/>
      <c r="E21" s="22"/>
      <c r="F21" s="22"/>
      <c r="G21" s="22"/>
    </row>
    <row r="22" spans="1:7" ht="22" customHeight="1" x14ac:dyDescent="0.35">
      <c r="A22" s="19" t="s">
        <v>327</v>
      </c>
      <c r="B22" s="20" t="s">
        <v>149</v>
      </c>
      <c r="C22" s="23" t="s">
        <v>71</v>
      </c>
      <c r="D22" s="53"/>
      <c r="E22" s="22"/>
      <c r="F22" s="22"/>
      <c r="G22" s="22"/>
    </row>
    <row r="23" spans="1:7" ht="22" customHeight="1" x14ac:dyDescent="0.35">
      <c r="A23" s="19" t="s">
        <v>327</v>
      </c>
      <c r="B23" s="20" t="s">
        <v>154</v>
      </c>
      <c r="C23" s="23" t="s">
        <v>71</v>
      </c>
      <c r="D23" s="53"/>
      <c r="E23" s="22"/>
      <c r="F23" s="22"/>
      <c r="G23" s="22"/>
    </row>
    <row r="24" spans="1:7" ht="22" customHeight="1" x14ac:dyDescent="0.35">
      <c r="A24" s="19" t="s">
        <v>327</v>
      </c>
      <c r="B24" s="20" t="s">
        <v>161</v>
      </c>
      <c r="C24" s="21" t="s">
        <v>42</v>
      </c>
      <c r="D24" s="53"/>
      <c r="E24" s="22"/>
      <c r="F24" s="22"/>
      <c r="G24" s="22"/>
    </row>
    <row r="25" spans="1:7" ht="22" customHeight="1" x14ac:dyDescent="0.35">
      <c r="A25" s="19" t="s">
        <v>327</v>
      </c>
      <c r="B25" s="20" t="s">
        <v>330</v>
      </c>
      <c r="C25" s="21" t="s">
        <v>42</v>
      </c>
      <c r="D25" s="53"/>
      <c r="E25" s="22"/>
      <c r="F25" s="22"/>
      <c r="G25" s="22"/>
    </row>
    <row r="26" spans="1:7" ht="22" customHeight="1" x14ac:dyDescent="0.35">
      <c r="A26" s="24" t="s">
        <v>331</v>
      </c>
      <c r="B26" s="20" t="s">
        <v>332</v>
      </c>
      <c r="C26" s="23" t="s">
        <v>71</v>
      </c>
      <c r="D26" s="53"/>
      <c r="E26" s="22"/>
      <c r="F26" s="22"/>
      <c r="G26" s="22"/>
    </row>
    <row r="27" spans="1:7" ht="22" customHeight="1" x14ac:dyDescent="0.35">
      <c r="A27" s="24" t="s">
        <v>331</v>
      </c>
      <c r="B27" s="20" t="s">
        <v>181</v>
      </c>
      <c r="C27" s="23" t="s">
        <v>71</v>
      </c>
      <c r="D27" s="53"/>
      <c r="E27" s="22"/>
      <c r="F27" s="22"/>
      <c r="G27" s="22"/>
    </row>
    <row r="28" spans="1:7" ht="22" customHeight="1" x14ac:dyDescent="0.35">
      <c r="A28" s="24" t="s">
        <v>331</v>
      </c>
      <c r="B28" s="20" t="s">
        <v>186</v>
      </c>
      <c r="C28" s="23" t="s">
        <v>71</v>
      </c>
      <c r="D28" s="53"/>
      <c r="E28" s="22"/>
      <c r="F28" s="22"/>
      <c r="G28" s="22"/>
    </row>
    <row r="29" spans="1:7" ht="22" customHeight="1" x14ac:dyDescent="0.35">
      <c r="A29" s="24" t="s">
        <v>331</v>
      </c>
      <c r="B29" s="20" t="s">
        <v>191</v>
      </c>
      <c r="C29" s="23" t="s">
        <v>71</v>
      </c>
      <c r="D29" s="53"/>
      <c r="E29" s="22"/>
      <c r="F29" s="22"/>
      <c r="G29" s="22"/>
    </row>
    <row r="30" spans="1:7" ht="22" customHeight="1" x14ac:dyDescent="0.35">
      <c r="A30" s="24" t="s">
        <v>331</v>
      </c>
      <c r="B30" s="20" t="s">
        <v>198</v>
      </c>
      <c r="C30" s="21" t="s">
        <v>42</v>
      </c>
      <c r="D30" s="53"/>
      <c r="E30" s="22"/>
      <c r="F30" s="22"/>
      <c r="G30" s="22"/>
    </row>
    <row r="31" spans="1:7" ht="22" customHeight="1" x14ac:dyDescent="0.35">
      <c r="A31" s="24" t="s">
        <v>331</v>
      </c>
      <c r="B31" s="20" t="s">
        <v>205</v>
      </c>
      <c r="C31" s="21" t="s">
        <v>42</v>
      </c>
      <c r="D31" s="53"/>
      <c r="E31" s="22"/>
      <c r="F31" s="22"/>
      <c r="G31" s="22"/>
    </row>
    <row r="32" spans="1:7" ht="22" customHeight="1" x14ac:dyDescent="0.35">
      <c r="A32" s="24" t="s">
        <v>331</v>
      </c>
      <c r="B32" s="20" t="s">
        <v>333</v>
      </c>
      <c r="C32" s="21" t="s">
        <v>42</v>
      </c>
      <c r="D32" s="53"/>
      <c r="E32" s="22"/>
      <c r="F32" s="22"/>
      <c r="G32" s="22"/>
    </row>
    <row r="33" spans="1:7" ht="22" customHeight="1" x14ac:dyDescent="0.35">
      <c r="A33" s="24" t="s">
        <v>331</v>
      </c>
      <c r="B33" s="20" t="s">
        <v>334</v>
      </c>
      <c r="C33" s="21" t="s">
        <v>42</v>
      </c>
      <c r="D33" s="53"/>
      <c r="E33" s="22"/>
      <c r="F33" s="22"/>
      <c r="G33" s="22"/>
    </row>
    <row r="34" spans="1:7" ht="22" customHeight="1" x14ac:dyDescent="0.35">
      <c r="A34" s="24" t="s">
        <v>331</v>
      </c>
      <c r="B34" s="20" t="s">
        <v>335</v>
      </c>
      <c r="C34" s="23" t="s">
        <v>71</v>
      </c>
      <c r="D34" s="53"/>
      <c r="E34" s="22"/>
      <c r="F34" s="22"/>
      <c r="G34" s="22"/>
    </row>
    <row r="35" spans="1:7" ht="22" customHeight="1" x14ac:dyDescent="0.35">
      <c r="A35" s="24" t="s">
        <v>331</v>
      </c>
      <c r="B35" s="20" t="s">
        <v>336</v>
      </c>
      <c r="C35" s="23" t="s">
        <v>71</v>
      </c>
      <c r="D35" s="53"/>
      <c r="E35" s="22"/>
      <c r="F35" s="22"/>
      <c r="G35" s="22"/>
    </row>
    <row r="36" spans="1:7" ht="22" customHeight="1" x14ac:dyDescent="0.35">
      <c r="A36" s="25" t="s">
        <v>337</v>
      </c>
      <c r="B36" s="20" t="s">
        <v>235</v>
      </c>
      <c r="C36" s="21" t="s">
        <v>42</v>
      </c>
      <c r="D36" s="53"/>
      <c r="E36" s="22"/>
      <c r="F36" s="22"/>
      <c r="G36" s="22"/>
    </row>
    <row r="37" spans="1:7" ht="22" customHeight="1" x14ac:dyDescent="0.35">
      <c r="A37" s="25" t="s">
        <v>337</v>
      </c>
      <c r="B37" s="20" t="s">
        <v>240</v>
      </c>
      <c r="C37" s="21" t="s">
        <v>42</v>
      </c>
      <c r="D37" s="53"/>
      <c r="E37" s="22"/>
      <c r="F37" s="22"/>
      <c r="G37" s="22"/>
    </row>
    <row r="38" spans="1:7" ht="22" customHeight="1" x14ac:dyDescent="0.35">
      <c r="A38" s="25" t="s">
        <v>337</v>
      </c>
      <c r="B38" s="20" t="s">
        <v>245</v>
      </c>
      <c r="C38" s="23" t="s">
        <v>71</v>
      </c>
      <c r="D38" s="53"/>
      <c r="E38" s="22"/>
      <c r="F38" s="22"/>
      <c r="G38" s="22"/>
    </row>
    <row r="39" spans="1:7" ht="22" customHeight="1" x14ac:dyDescent="0.35">
      <c r="A39" s="25" t="s">
        <v>337</v>
      </c>
      <c r="B39" s="20" t="s">
        <v>338</v>
      </c>
      <c r="C39" s="23" t="s">
        <v>71</v>
      </c>
      <c r="D39" s="53"/>
      <c r="E39" s="22"/>
      <c r="F39" s="22"/>
      <c r="G39" s="22"/>
    </row>
    <row r="40" spans="1:7" ht="22" customHeight="1" x14ac:dyDescent="0.35">
      <c r="A40" s="25" t="s">
        <v>337</v>
      </c>
      <c r="B40" s="20" t="s">
        <v>255</v>
      </c>
      <c r="C40" s="21" t="s">
        <v>42</v>
      </c>
      <c r="D40" s="53"/>
      <c r="E40" s="22"/>
      <c r="F40" s="22"/>
      <c r="G40" s="22"/>
    </row>
    <row r="41" spans="1:7" ht="22" customHeight="1" x14ac:dyDescent="0.35">
      <c r="A41" s="25" t="s">
        <v>337</v>
      </c>
      <c r="B41" s="20" t="s">
        <v>339</v>
      </c>
      <c r="C41" s="23" t="s">
        <v>71</v>
      </c>
      <c r="D41" s="53"/>
      <c r="E41" s="22"/>
      <c r="F41" s="22"/>
      <c r="G41" s="22"/>
    </row>
    <row r="42" spans="1:7" ht="22" customHeight="1" x14ac:dyDescent="0.35">
      <c r="A42" s="25" t="s">
        <v>337</v>
      </c>
      <c r="B42" s="20" t="s">
        <v>268</v>
      </c>
      <c r="C42" s="21" t="s">
        <v>42</v>
      </c>
      <c r="D42" s="53"/>
      <c r="E42" s="22"/>
      <c r="F42" s="22"/>
      <c r="G42" s="22"/>
    </row>
    <row r="43" spans="1:7" ht="22" customHeight="1" x14ac:dyDescent="0.35">
      <c r="A43" s="25" t="s">
        <v>337</v>
      </c>
      <c r="B43" s="20" t="s">
        <v>340</v>
      </c>
      <c r="C43" s="23" t="s">
        <v>71</v>
      </c>
      <c r="D43" s="53"/>
      <c r="E43" s="22"/>
      <c r="F43" s="22"/>
      <c r="G43" s="22"/>
    </row>
    <row r="44" spans="1:7" ht="22" customHeight="1" x14ac:dyDescent="0.35">
      <c r="A44" s="25" t="s">
        <v>337</v>
      </c>
      <c r="B44" s="20" t="s">
        <v>341</v>
      </c>
      <c r="C44" s="23" t="s">
        <v>71</v>
      </c>
      <c r="D44" s="53"/>
      <c r="E44" s="22"/>
      <c r="F44" s="22"/>
      <c r="G44" s="22"/>
    </row>
    <row r="45" spans="1:7" ht="22" customHeight="1" x14ac:dyDescent="0.35">
      <c r="A45" s="26" t="s">
        <v>342</v>
      </c>
      <c r="B45" s="20" t="s">
        <v>288</v>
      </c>
      <c r="C45" s="21" t="s">
        <v>42</v>
      </c>
      <c r="D45" s="53"/>
      <c r="E45" s="22"/>
      <c r="F45" s="22"/>
      <c r="G45" s="22"/>
    </row>
    <row r="46" spans="1:7" ht="22" customHeight="1" x14ac:dyDescent="0.35">
      <c r="A46" s="26" t="s">
        <v>342</v>
      </c>
      <c r="B46" s="20" t="s">
        <v>295</v>
      </c>
      <c r="C46" s="21" t="s">
        <v>42</v>
      </c>
      <c r="D46" s="53"/>
      <c r="E46" s="22"/>
      <c r="F46" s="22"/>
      <c r="G46" s="22"/>
    </row>
    <row r="47" spans="1:7" ht="22" customHeight="1" x14ac:dyDescent="0.35">
      <c r="A47" s="27" t="s">
        <v>343</v>
      </c>
      <c r="B47" s="20" t="s">
        <v>344</v>
      </c>
      <c r="C47" s="21" t="s">
        <v>42</v>
      </c>
      <c r="D47" s="53"/>
      <c r="E47" s="22"/>
      <c r="F47" s="22"/>
      <c r="G47" s="22"/>
    </row>
    <row r="48" spans="1:7" ht="22" customHeight="1" x14ac:dyDescent="0.35">
      <c r="A48" s="27" t="s">
        <v>343</v>
      </c>
      <c r="B48" s="20" t="s">
        <v>345</v>
      </c>
      <c r="C48" s="21" t="s">
        <v>42</v>
      </c>
      <c r="D48" s="53"/>
      <c r="E48" s="22"/>
      <c r="F48" s="22"/>
      <c r="G48" s="22"/>
    </row>
    <row r="49" spans="1:7" ht="22" customHeight="1" x14ac:dyDescent="0.35">
      <c r="A49" s="27" t="s">
        <v>343</v>
      </c>
      <c r="B49" s="20" t="s">
        <v>346</v>
      </c>
      <c r="C49" s="21" t="s">
        <v>42</v>
      </c>
      <c r="D49" s="53"/>
      <c r="E49" s="22"/>
      <c r="F49" s="22"/>
      <c r="G49" s="22"/>
    </row>
    <row r="50" spans="1:7" ht="22" customHeight="1" x14ac:dyDescent="0.35">
      <c r="A50" s="27" t="s">
        <v>343</v>
      </c>
      <c r="B50" s="20" t="s">
        <v>347</v>
      </c>
      <c r="C50" s="21" t="s">
        <v>42</v>
      </c>
      <c r="D50" s="53"/>
      <c r="E50" s="22"/>
      <c r="F50" s="22"/>
      <c r="G50" s="22"/>
    </row>
    <row r="51" spans="1:7" x14ac:dyDescent="0.35">
      <c r="D51" s="53"/>
    </row>
    <row r="52" spans="1:7" x14ac:dyDescent="0.35">
      <c r="A52" s="52" t="s">
        <v>348</v>
      </c>
      <c r="B52" s="43"/>
    </row>
    <row r="53" spans="1:7" x14ac:dyDescent="0.35">
      <c r="A53" s="28" t="s">
        <v>349</v>
      </c>
      <c r="B53" s="29">
        <f>COUNTIF(C3:C50,"REQUIRED")</f>
        <v>26</v>
      </c>
    </row>
    <row r="54" spans="1:7" x14ac:dyDescent="0.35">
      <c r="A54" s="28" t="s">
        <v>350</v>
      </c>
      <c r="B54" s="29">
        <f>COUNTIF(C3:C50,"ADDRESSABLE")</f>
        <v>22</v>
      </c>
    </row>
    <row r="55" spans="1:7" x14ac:dyDescent="0.35">
      <c r="A55" s="28" t="s">
        <v>351</v>
      </c>
      <c r="B55" s="29">
        <f>COUNTIF(D3:D50,"Implemented")</f>
        <v>0</v>
      </c>
    </row>
    <row r="56" spans="1:7" x14ac:dyDescent="0.35">
      <c r="A56" s="28" t="s">
        <v>352</v>
      </c>
      <c r="B56" s="29">
        <f>COUNTIF(D3:D50,"In Progress")</f>
        <v>0</v>
      </c>
    </row>
    <row r="57" spans="1:7" x14ac:dyDescent="0.35">
      <c r="A57" s="28" t="s">
        <v>353</v>
      </c>
      <c r="B57" s="29">
        <f>COUNTIF(D3:D50,"Not Started")</f>
        <v>0</v>
      </c>
    </row>
  </sheetData>
  <mergeCells count="2">
    <mergeCell ref="A1:G1"/>
    <mergeCell ref="A52:B5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showGridLines="0" workbookViewId="0">
      <pane ySplit="2" topLeftCell="A3" activePane="bottomLeft" state="frozen"/>
      <selection pane="bottomLeft" sqref="A1:C1"/>
    </sheetView>
  </sheetViews>
  <sheetFormatPr defaultRowHeight="14.5" x14ac:dyDescent="0.35"/>
  <cols>
    <col min="1" max="1" width="24" customWidth="1"/>
    <col min="2" max="3" width="38" customWidth="1"/>
  </cols>
  <sheetData>
    <row r="1" spans="1:3" ht="40" customHeight="1" x14ac:dyDescent="0.35">
      <c r="A1" s="51" t="s">
        <v>354</v>
      </c>
      <c r="B1" s="43"/>
      <c r="C1" s="43"/>
    </row>
    <row r="2" spans="1:3" ht="25" customHeight="1" x14ac:dyDescent="0.35">
      <c r="A2" s="31" t="s">
        <v>355</v>
      </c>
      <c r="B2" s="32" t="s">
        <v>356</v>
      </c>
      <c r="C2" s="33" t="s">
        <v>357</v>
      </c>
    </row>
    <row r="3" spans="1:3" ht="70" customHeight="1" x14ac:dyDescent="0.35">
      <c r="A3" s="30" t="s">
        <v>358</v>
      </c>
      <c r="B3" s="34" t="s">
        <v>359</v>
      </c>
      <c r="C3" s="34" t="s">
        <v>360</v>
      </c>
    </row>
    <row r="4" spans="1:3" ht="70" customHeight="1" x14ac:dyDescent="0.35">
      <c r="A4" s="30" t="s">
        <v>361</v>
      </c>
      <c r="B4" s="35" t="s">
        <v>362</v>
      </c>
      <c r="C4" s="35" t="s">
        <v>363</v>
      </c>
    </row>
    <row r="5" spans="1:3" ht="70" customHeight="1" x14ac:dyDescent="0.35">
      <c r="A5" s="30" t="s">
        <v>364</v>
      </c>
      <c r="B5" s="34" t="s">
        <v>365</v>
      </c>
      <c r="C5" s="34" t="s">
        <v>366</v>
      </c>
    </row>
    <row r="6" spans="1:3" ht="70" customHeight="1" x14ac:dyDescent="0.35">
      <c r="A6" s="30" t="s">
        <v>9</v>
      </c>
      <c r="B6" s="35" t="s">
        <v>367</v>
      </c>
      <c r="C6" s="35" t="s">
        <v>368</v>
      </c>
    </row>
    <row r="7" spans="1:3" ht="70" customHeight="1" x14ac:dyDescent="0.35">
      <c r="A7" s="30" t="s">
        <v>369</v>
      </c>
      <c r="B7" s="34" t="s">
        <v>370</v>
      </c>
      <c r="C7" s="34" t="s">
        <v>371</v>
      </c>
    </row>
    <row r="8" spans="1:3" ht="70" customHeight="1" x14ac:dyDescent="0.35">
      <c r="A8" s="30" t="s">
        <v>372</v>
      </c>
      <c r="B8" s="35" t="s">
        <v>373</v>
      </c>
      <c r="C8" s="35" t="s">
        <v>374</v>
      </c>
    </row>
    <row r="9" spans="1:3" ht="70" customHeight="1" x14ac:dyDescent="0.35">
      <c r="A9" s="30" t="s">
        <v>375</v>
      </c>
      <c r="B9" s="34" t="s">
        <v>376</v>
      </c>
      <c r="C9" s="34" t="s">
        <v>377</v>
      </c>
    </row>
    <row r="10" spans="1:3" ht="70" customHeight="1" x14ac:dyDescent="0.35">
      <c r="A10" s="30" t="s">
        <v>378</v>
      </c>
      <c r="B10" s="35" t="s">
        <v>379</v>
      </c>
      <c r="C10" s="35" t="s">
        <v>380</v>
      </c>
    </row>
    <row r="11" spans="1:3" ht="70" customHeight="1" x14ac:dyDescent="0.35">
      <c r="A11" s="30" t="s">
        <v>381</v>
      </c>
      <c r="B11" s="34" t="s">
        <v>382</v>
      </c>
      <c r="C11" s="34" t="s">
        <v>383</v>
      </c>
    </row>
    <row r="12" spans="1:3" ht="70" customHeight="1" x14ac:dyDescent="0.35">
      <c r="A12" s="30" t="s">
        <v>308</v>
      </c>
      <c r="B12" s="35" t="s">
        <v>384</v>
      </c>
      <c r="C12" s="35" t="s">
        <v>385</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Standards Matrix</vt:lpstr>
      <vt:lpstr>Compliance Checklist</vt:lpstr>
      <vt:lpstr>Privacy vs Security 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sourjya1614@gmail.com</cp:lastModifiedBy>
  <dcterms:created xsi:type="dcterms:W3CDTF">2026-05-30T23:37:39Z</dcterms:created>
  <dcterms:modified xsi:type="dcterms:W3CDTF">2026-05-30T23:48:33Z</dcterms:modified>
</cp:coreProperties>
</file>