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ver &amp; Instructions" sheetId="1" state="visible" r:id="rId3"/>
    <sheet name="📊 Compliance Register" sheetId="2" state="visible" r:id="rId4"/>
    <sheet name="🎯 Prioritized Approach" sheetId="3" state="visible" r:id="rId5"/>
    <sheet name="📁 Evidence Tracker" sheetId="4" state="visible" r:id="rId6"/>
    <sheet name="⚠️ Risk Register" sheetId="5" state="visible" r:id="rId7"/>
    <sheet name="📐 Responsibility Matri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<sst xmlns="http://schemas.openxmlformats.org/spreadsheetml/2006/main" count="8784" uniqueCount="2319">
  <si>
    <t xml:space="preserve">PCI DSS v4.0.1 — FULL COMPLIANCE REGISTER &amp; GRC WORKBOOK</t>
  </si>
  <si>
    <t xml:space="preserve">Prepared for GRC Expert / Qualified Security Assessor (QSA) Review</t>
  </si>
  <si>
    <t xml:space="preserve">Standard</t>
  </si>
  <si>
    <t xml:space="preserve">PCI DSS v4.0.1 (January 2025)</t>
  </si>
  <si>
    <t xml:space="preserve">Issued By</t>
  </si>
  <si>
    <t xml:space="preserve">PCI Security Standards Council (PCI SSC)</t>
  </si>
  <si>
    <t xml:space="preserve">Document Date</t>
  </si>
  <si>
    <t xml:space="preserve">02 June 2026</t>
  </si>
  <si>
    <t xml:space="preserve">Classification</t>
  </si>
  <si>
    <t xml:space="preserve">CONFIDENTIAL – GRC / Compliance Use</t>
  </si>
  <si>
    <t xml:space="preserve">Total Controls</t>
  </si>
  <si>
    <t xml:space="preserve">312 Sub-requirements across 12 Domains</t>
  </si>
  <si>
    <t xml:space="preserve">Milestones</t>
  </si>
  <si>
    <t xml:space="preserve">6 Prioritized Approach Milestones</t>
  </si>
  <si>
    <t xml:space="preserve">Review Cycle</t>
  </si>
  <si>
    <t xml:space="preserve">Annual (or upon significant change to in-scope environment)</t>
  </si>
  <si>
    <t xml:space="preserve">WORKBOOK CONTENTS</t>
  </si>
  <si>
    <t xml:space="preserve">📋 Cover &amp; Instructions</t>
  </si>
  <si>
    <t xml:space="preserve">This sheet – document information, legend, instructions for use</t>
  </si>
  <si>
    <t xml:space="preserve">📊 Compliance Register</t>
  </si>
  <si>
    <t xml:space="preserve">Complete control register: all 12 domains, sub-requirements, testing procedures, status tracking, ownership, evidence, and risk ratings</t>
  </si>
  <si>
    <t xml:space="preserve">🎯 Prioritized Approach</t>
  </si>
  <si>
    <t xml:space="preserve">6-milestone implementation roadmap with progress tracking and percentage completion formulas</t>
  </si>
  <si>
    <t xml:space="preserve">📁 Evidence Tracker</t>
  </si>
  <si>
    <t xml:space="preserve">Document evidence management: evidence type, reference, document owner, upload status, review date</t>
  </si>
  <si>
    <t xml:space="preserve">⚠️ Risk Register</t>
  </si>
  <si>
    <t xml:space="preserve">Risk assessment per control: inherent risk, current controls, residual risk, treatment, and risk owner</t>
  </si>
  <si>
    <t xml:space="preserve">📐 Responsibility Matrix</t>
  </si>
  <si>
    <t xml:space="preserve">RACI-style responsibility assignment across departments and roles for each domain</t>
  </si>
  <si>
    <t xml:space="preserve">COMPLIANCE STATUS LEGEND</t>
  </si>
  <si>
    <t xml:space="preserve">COMPLIANT</t>
  </si>
  <si>
    <t xml:space="preserve">All elements of the requirement have been fully implemented and verified with evidence.</t>
  </si>
  <si>
    <t xml:space="preserve">NON-COMPLIANT</t>
  </si>
  <si>
    <t xml:space="preserve">Some or all elements of the requirement have not been met or require further remediation.</t>
  </si>
  <si>
    <t xml:space="preserve">IN PROGRESS</t>
  </si>
  <si>
    <t xml:space="preserve">Implementation is underway; not yet fully compliant. Estimated completion date should be provided.</t>
  </si>
  <si>
    <t xml:space="preserve">NOT APPLICABLE</t>
  </si>
  <si>
    <t xml:space="preserve">Requirement does not apply to this entity's environment. Justification must be documented.</t>
  </si>
  <si>
    <t xml:space="preserve">NOT TESTED</t>
  </si>
  <si>
    <t xml:space="preserve">Requirement has not yet been assessed. Assessment must be conducted before final submission.</t>
  </si>
  <si>
    <t xml:space="preserve">RISK LEVEL LEGEND</t>
  </si>
  <si>
    <t xml:space="preserve">CRITICAL</t>
  </si>
  <si>
    <t xml:space="preserve">Immediate action required. Exploitation could lead to catastrophic data breach or compliance failure.</t>
  </si>
  <si>
    <t xml:space="preserve">HIGH</t>
  </si>
  <si>
    <t xml:space="preserve">Priority remediation required. Significant risk to cardholder data security.</t>
  </si>
  <si>
    <t xml:space="preserve">MEDIUM</t>
  </si>
  <si>
    <t xml:space="preserve">Remediation required within defined timeframe. Moderate risk to CDE.</t>
  </si>
  <si>
    <t xml:space="preserve">LOW</t>
  </si>
  <si>
    <t xml:space="preserve">Best effort remediation. Limited risk to cardholder data environment.</t>
  </si>
  <si>
    <t xml:space="preserve">PCI DSS v4.0.1 — FULL COMPLIANCE CONTROL REGISTER</t>
  </si>
  <si>
    <t xml:space="preserve">REQ ID</t>
  </si>
  <si>
    <t xml:space="preserve">DOMAIN</t>
  </si>
  <si>
    <t xml:space="preserve">PARENT REQ</t>
  </si>
  <si>
    <t xml:space="preserve">REQUIREMENT TITLE / DESCRIPTION</t>
  </si>
  <si>
    <t xml:space="preserve">MILESTONE</t>
  </si>
  <si>
    <t xml:space="preserve">APPLICABILITY</t>
  </si>
  <si>
    <t xml:space="preserve">REVIEW FREQUENCY</t>
  </si>
  <si>
    <t xml:space="preserve">RISK LEVEL</t>
  </si>
  <si>
    <t xml:space="preserve">COMPLIANCE STATUS</t>
  </si>
  <si>
    <t xml:space="preserve">RESPONSIBLE OWNER</t>
  </si>
  <si>
    <t xml:space="preserve">DEPARTMENT</t>
  </si>
  <si>
    <t xml:space="preserve">IMPLEMENTATION NOTES</t>
  </si>
  <si>
    <t xml:space="preserve">TESTING PROCEDURE</t>
  </si>
  <si>
    <t xml:space="preserve">EVIDENCE REFERENCE</t>
  </si>
  <si>
    <t xml:space="preserve">EVIDENCE TYPE</t>
  </si>
  <si>
    <t xml:space="preserve">EVIDENCE LOCATION</t>
  </si>
  <si>
    <t xml:space="preserve">DATE TESTED</t>
  </si>
  <si>
    <t xml:space="preserve">TESTED BY</t>
  </si>
  <si>
    <t xml:space="preserve">NEXT REVIEW DATE</t>
  </si>
  <si>
    <t xml:space="preserve">GAP / REMEDIATION ACTION</t>
  </si>
  <si>
    <t xml:space="preserve">REMEDIATION OWNER</t>
  </si>
  <si>
    <t xml:space="preserve">TARGET COMPLETION</t>
  </si>
  <si>
    <t xml:space="preserve">ACTUAL COMPLETION</t>
  </si>
  <si>
    <t xml:space="preserve">QSA NOTES</t>
  </si>
  <si>
    <t xml:space="preserve">COMMENTS</t>
  </si>
  <si>
    <t xml:space="preserve">Req 1: Network Security Controls</t>
  </si>
  <si>
    <t xml:space="preserve">1.1</t>
  </si>
  <si>
    <t xml:space="preserve">1</t>
  </si>
  <si>
    <t xml:space="preserve">Processes and mechanisms for installing and maintaining network security controls are defined and understood.</t>
  </si>
  <si>
    <t xml:space="preserve">Milestone 6</t>
  </si>
  <si>
    <t xml:space="preserve">All</t>
  </si>
  <si>
    <t xml:space="preserve">Ongoing</t>
  </si>
  <si>
    <t xml:space="preserve">High</t>
  </si>
  <si>
    <t xml:space="preserve">Examine policies, procedures, and technical configurations; interview responsible personnel; observe implementations; inspect evidence documentation to confirm compliance with Requirement 1.1.</t>
  </si>
  <si>
    <t xml:space="preserve">1.1.1</t>
  </si>
  <si>
    <t xml:space="preserve">All security policies and operational procedures that are identified in Requirement 1 are: Documented; Kept up to date; In use; Known to all affected parties.</t>
  </si>
  <si>
    <t xml:space="preserve">Examine policies/procedures; interview personnel; observe documentation to confirm policies are documented, current, in use, and known to affected parties.</t>
  </si>
  <si>
    <t xml:space="preserve">1.1.2</t>
  </si>
  <si>
    <t xml:space="preserve">Roles and responsibilities for performing activities in Requirement 1 are documented, assigned, and understood.</t>
  </si>
  <si>
    <t xml:space="preserve">Medium</t>
  </si>
  <si>
    <t xml:space="preserve">Examine policies, procedures, and technical configurations; interview responsible personnel; observe implementations; inspect evidence documentation to confirm compliance with Requirement 1.1.2.</t>
  </si>
  <si>
    <t xml:space="preserve">1.2</t>
  </si>
  <si>
    <t xml:space="preserve">Network security controls (NSCs) are configured and maintained.</t>
  </si>
  <si>
    <t xml:space="preserve">Milestone 2</t>
  </si>
  <si>
    <t xml:space="preserve">Examine policies, procedures, and technical configurations; interview responsible personnel; observe implementations; inspect evidence documentation to confirm compliance with Requirement 1.2.</t>
  </si>
  <si>
    <t xml:space="preserve">1.2.1</t>
  </si>
  <si>
    <t xml:space="preserve">Configuration standards for NSC rulesets are: Defined; Implemented; Maintained.</t>
  </si>
  <si>
    <t xml:space="preserve">Examine configuration standards for NSC rulesets; confirm they are defined, implemented, and maintained.</t>
  </si>
  <si>
    <t xml:space="preserve">1.2.2</t>
  </si>
  <si>
    <t xml:space="preserve">All changes to network connections and to configurations of NSCs are approved and managed in accordance with the change control process defined at Requirement 6.5.1.</t>
  </si>
  <si>
    <t xml:space="preserve">Per change</t>
  </si>
  <si>
    <t xml:space="preserve">Examine policies, procedures, and technical configurations; interview responsible personnel; observe implementations; inspect evidence documentation to confirm compliance with Requirement 1.2.2.</t>
  </si>
  <si>
    <t xml:space="preserve">1.2.3</t>
  </si>
  <si>
    <t xml:space="preserve">An accurate network diagram(s) is maintained that shows all connections between the CDE and other networks, including any wireless networks.</t>
  </si>
  <si>
    <t xml:space="preserve">Milestone 1</t>
  </si>
  <si>
    <t xml:space="preserve">Examine network diagrams; verify they show all connections between CDE and other networks including wireless.</t>
  </si>
  <si>
    <t xml:space="preserve">1.2.4</t>
  </si>
  <si>
    <t xml:space="preserve">An accurate data-flow diagram(s) is maintained that shows all account data flows across systems and networks; updated upon changes to the environment.</t>
  </si>
  <si>
    <t xml:space="preserve">Examine policies, procedures, and technical configurations; interview responsible personnel; observe implementations; inspect evidence documentation to confirm compliance with Requirement 1.2.4.</t>
  </si>
  <si>
    <t xml:space="preserve">1.2.5</t>
  </si>
  <si>
    <t xml:space="preserve">All services, protocols and ports allowed are identified, approved, and have a defined business need.</t>
  </si>
  <si>
    <t xml:space="preserve">Examine policies, procedures, and technical configurations; interview responsible personnel; observe implementations; inspect evidence documentation to confirm compliance with Requirement 1.2.5.</t>
  </si>
  <si>
    <t xml:space="preserve">1.2.6</t>
  </si>
  <si>
    <t xml:space="preserve">Security features are defined and implemented for all services, protocols, and ports that are in use and considered insecure, such that the risk is mitigated.</t>
  </si>
  <si>
    <t xml:space="preserve">Examine policies, procedures, and technical configurations; interview responsible personnel; observe implementations; inspect evidence documentation to confirm compliance with Requirement 1.2.6.</t>
  </si>
  <si>
    <t xml:space="preserve">1.2.7</t>
  </si>
  <si>
    <t xml:space="preserve">Configurations of NSCs are reviewed at least once every six months to confirm they are relevant and effective.</t>
  </si>
  <si>
    <t xml:space="preserve">Every 6 months</t>
  </si>
  <si>
    <t xml:space="preserve">Examine policies, procedures, and technical configurations; interview responsible personnel; observe implementations; inspect evidence documentation to confirm compliance with Requirement 1.2.7.</t>
  </si>
  <si>
    <t xml:space="preserve">1.2.8</t>
  </si>
  <si>
    <t xml:space="preserve">Configuration files for NSCs are: Secured from unauthorized access; Kept consistent with active network configurations.</t>
  </si>
  <si>
    <t xml:space="preserve">Examine policies, procedures, and technical configurations; interview responsible personnel; observe implementations; inspect evidence documentation to confirm compliance with Requirement 1.2.8.</t>
  </si>
  <si>
    <t xml:space="preserve">1.3</t>
  </si>
  <si>
    <t xml:space="preserve">Network access to and from the cardholder data environment is restricted.</t>
  </si>
  <si>
    <t xml:space="preserve">Examine policies, procedures, and technical configurations; interview responsible personnel; observe implementations; inspect evidence documentation to confirm compliance with Requirement 1.3.</t>
  </si>
  <si>
    <t xml:space="preserve">1.3.1</t>
  </si>
  <si>
    <t xml:space="preserve">Inbound traffic to the CDE is restricted to only traffic that is necessary; all other traffic is specifically denied.</t>
  </si>
  <si>
    <t xml:space="preserve">Examine NSC configurations; verify inbound traffic to CDE is restricted to necessary traffic only.</t>
  </si>
  <si>
    <t xml:space="preserve">1.3.2</t>
  </si>
  <si>
    <t xml:space="preserve">Outbound traffic from the CDE is restricted to only traffic that is necessary; all other traffic is specifically denied.</t>
  </si>
  <si>
    <t xml:space="preserve">Examine policies, procedures, and technical configurations; interview responsible personnel; observe implementations; inspect evidence documentation to confirm compliance with Requirement 1.3.2.</t>
  </si>
  <si>
    <t xml:space="preserve">1.3.3</t>
  </si>
  <si>
    <t xml:space="preserve">NSCs are installed between all wireless networks and the CDE; all wireless traffic into CDE is denied by default unless authorized.</t>
  </si>
  <si>
    <t xml:space="preserve">Examine policies, procedures, and technical configurations; interview responsible personnel; observe implementations; inspect evidence documentation to confirm compliance with Requirement 1.3.3.</t>
  </si>
  <si>
    <t xml:space="preserve">1.4</t>
  </si>
  <si>
    <t xml:space="preserve">Network connections between trusted and untrusted networks are controlled.</t>
  </si>
  <si>
    <t xml:space="preserve">Examine policies, procedures, and technical configurations; interview responsible personnel; observe implementations; inspect evidence documentation to confirm compliance with Requirement 1.4.</t>
  </si>
  <si>
    <t xml:space="preserve">1.4.1</t>
  </si>
  <si>
    <t xml:space="preserve">NSCs are implemented between trusted and untrusted networks.</t>
  </si>
  <si>
    <t xml:space="preserve">Examine NSC configurations; verify NSCs are implemented between trusted and untrusted networks.</t>
  </si>
  <si>
    <t xml:space="preserve">1.4.2</t>
  </si>
  <si>
    <t xml:space="preserve">Inbound traffic from untrusted networks to trusted networks is restricted to authorized communications and stateful responses; all other traffic is denied.</t>
  </si>
  <si>
    <t xml:space="preserve">Examine policies, procedures, and technical configurations; interview responsible personnel; observe implementations; inspect evidence documentation to confirm compliance with Requirement 1.4.2.</t>
  </si>
  <si>
    <t xml:space="preserve">1.4.3</t>
  </si>
  <si>
    <t xml:space="preserve">Anti-spoofing measures are implemented to detect and block forged source IP addresses from entering the trusted network.</t>
  </si>
  <si>
    <t xml:space="preserve">Examine policies, procedures, and technical configurations; interview responsible personnel; observe implementations; inspect evidence documentation to confirm compliance with Requirement 1.4.3.</t>
  </si>
  <si>
    <t xml:space="preserve">1.4.4</t>
  </si>
  <si>
    <t xml:space="preserve">System components that store cardholder data are not directly accessible from untrusted networks.</t>
  </si>
  <si>
    <t xml:space="preserve">Examine policies, procedures, and technical configurations; interview responsible personnel; observe implementations; inspect evidence documentation to confirm compliance with Requirement 1.4.4.</t>
  </si>
  <si>
    <t xml:space="preserve">1.4.5</t>
  </si>
  <si>
    <t xml:space="preserve">The disclosure of internal IP addresses and routing information is limited to only authorized parties.</t>
  </si>
  <si>
    <t xml:space="preserve">Examine policies, procedures, and technical configurations; interview responsible personnel; observe implementations; inspect evidence documentation to confirm compliance with Requirement 1.4.5.</t>
  </si>
  <si>
    <t xml:space="preserve">1.5</t>
  </si>
  <si>
    <t xml:space="preserve">Risks to the CDE from computing devices that are able to connect to both untrusted networks and the CDE are mitigated.</t>
  </si>
  <si>
    <t xml:space="preserve">Examine policies, procedures, and technical configurations; interview responsible personnel; observe implementations; inspect evidence documentation to confirm compliance with Requirement 1.5.</t>
  </si>
  <si>
    <t xml:space="preserve">1.5.1</t>
  </si>
  <si>
    <t xml:space="preserve">Security controls are implemented on any computing devices (company- and employee-owned) that connect to both untrusted networks and the CDE, preventing threats from being introduced.</t>
  </si>
  <si>
    <t xml:space="preserve">Examine policies, procedures, and technical configurations; interview responsible personnel; observe implementations; inspect evidence documentation to confirm compliance with Requirement 1.5.1.</t>
  </si>
  <si>
    <t xml:space="preserve">Req 2: Secure Configurations</t>
  </si>
  <si>
    <t xml:space="preserve">2.1</t>
  </si>
  <si>
    <t xml:space="preserve">2</t>
  </si>
  <si>
    <t xml:space="preserve">Processes and mechanisms for applying secure configurations to all system components are defined and understood.</t>
  </si>
  <si>
    <t xml:space="preserve">Examine policies, procedures, and technical configurations; interview responsible personnel; observe implementations; inspect evidence documentation to confirm compliance with Requirement 2.1.</t>
  </si>
  <si>
    <t xml:space="preserve">2.1.1</t>
  </si>
  <si>
    <t xml:space="preserve">All security policies and operational procedures that are identified in Requirement 2 are: Documented; Kept up to date; In use; Known to all affected parties.</t>
  </si>
  <si>
    <t xml:space="preserve">Examine policies, procedures, and technical configurations; interview responsible personnel; observe implementations; inspect evidence documentation to confirm compliance with Requirement 2.1.1.</t>
  </si>
  <si>
    <t xml:space="preserve">2.1.2</t>
  </si>
  <si>
    <t xml:space="preserve">Roles and responsibilities for performing activities in Requirement 2 are documented, assigned, and understood.</t>
  </si>
  <si>
    <t xml:space="preserve">Examine policies, procedures, and technical configurations; interview responsible personnel; observe implementations; inspect evidence documentation to confirm compliance with Requirement 2.1.2.</t>
  </si>
  <si>
    <t xml:space="preserve">2.2</t>
  </si>
  <si>
    <t xml:space="preserve">System components are configured and managed securely.</t>
  </si>
  <si>
    <t xml:space="preserve">Examine policies, procedures, and technical configurations; interview responsible personnel; observe implementations; inspect evidence documentation to confirm compliance with Requirement 2.2.</t>
  </si>
  <si>
    <t xml:space="preserve">2.2.1</t>
  </si>
  <si>
    <t xml:space="preserve">Configuration standards are developed, implemented, and maintained to cover all system components, address vulnerabilities, and be consistent with industry hardening standards.</t>
  </si>
  <si>
    <t xml:space="preserve">Examine configuration standards; verify consistency with industry hardening standards (CIS, NIST, vendor recommendations).</t>
  </si>
  <si>
    <t xml:space="preserve">2.2.2</t>
  </si>
  <si>
    <t xml:space="preserve">Vendor default accounts are managed: default passwords changed if used; accounts removed or disabled if not used.</t>
  </si>
  <si>
    <t xml:space="preserve">Per deployment</t>
  </si>
  <si>
    <t xml:space="preserve">Examine system components; verify vendor default accounts are changed or disabled.</t>
  </si>
  <si>
    <t xml:space="preserve">2.2.3</t>
  </si>
  <si>
    <t xml:space="preserve">Primary functions requiring different security levels are managed: isolated from each other or all secured to the highest required level.</t>
  </si>
  <si>
    <t xml:space="preserve">Examine policies, procedures, and technical configurations; interview responsible personnel; observe implementations; inspect evidence documentation to confirm compliance with Requirement 2.2.3.</t>
  </si>
  <si>
    <t xml:space="preserve">2.2.4</t>
  </si>
  <si>
    <t xml:space="preserve">Only necessary services, protocols, daemons, and functions are enabled; all unnecessary functionality is removed or disabled.</t>
  </si>
  <si>
    <t xml:space="preserve">Examine policies, procedures, and technical configurations; interview responsible personnel; observe implementations; inspect evidence documentation to confirm compliance with Requirement 2.2.4.</t>
  </si>
  <si>
    <t xml:space="preserve">2.2.5</t>
  </si>
  <si>
    <t xml:space="preserve">If any insecure services, protocols, or daemons are present: business justification is documented; additional security features are documented and implemented.</t>
  </si>
  <si>
    <t xml:space="preserve">Examine policies, procedures, and technical configurations; interview responsible personnel; observe implementations; inspect evidence documentation to confirm compliance with Requirement 2.2.5.</t>
  </si>
  <si>
    <t xml:space="preserve">2.2.6</t>
  </si>
  <si>
    <t xml:space="preserve">System security parameters are configured to prevent misuse.</t>
  </si>
  <si>
    <t xml:space="preserve">Examine policies, procedures, and technical configurations; interview responsible personnel; observe implementations; inspect evidence documentation to confirm compliance with Requirement 2.2.6.</t>
  </si>
  <si>
    <t xml:space="preserve">2.2.7</t>
  </si>
  <si>
    <t xml:space="preserve">All non-console administrative access is encrypted using strong cryptography (including browser-based interfaces and APIs).</t>
  </si>
  <si>
    <t xml:space="preserve">Examine policies, procedures, and technical configurations; interview responsible personnel; observe implementations; inspect evidence documentation to confirm compliance with Requirement 2.2.7.</t>
  </si>
  <si>
    <t xml:space="preserve">2.3</t>
  </si>
  <si>
    <t xml:space="preserve">Wireless environments are configured and managed securely.</t>
  </si>
  <si>
    <t xml:space="preserve">Examine policies, procedures, and technical configurations; interview responsible personnel; observe implementations; inspect evidence documentation to confirm compliance with Requirement 2.3.</t>
  </si>
  <si>
    <t xml:space="preserve">2.3.1</t>
  </si>
  <si>
    <t xml:space="preserve">For wireless environments connected to CDE or transmitting account data, all wireless vendor defaults are changed at installation or confirmed secure.</t>
  </si>
  <si>
    <t xml:space="preserve">Examine policies, procedures, and technical configurations; interview responsible personnel; observe implementations; inspect evidence documentation to confirm compliance with Requirement 2.3.1.</t>
  </si>
  <si>
    <t xml:space="preserve">2.3.2</t>
  </si>
  <si>
    <t xml:space="preserve">For wireless environments connected to CDE or transmitting account data, wireless encryption keys are changed whenever personnel with knowledge leave or key is suspected compromised.</t>
  </si>
  <si>
    <t xml:space="preserve">Event-based</t>
  </si>
  <si>
    <t xml:space="preserve">Examine policies, procedures, and technical configurations; interview responsible personnel; observe implementations; inspect evidence documentation to confirm compliance with Requirement 2.3.2.</t>
  </si>
  <si>
    <t xml:space="preserve">Req 3: Protect Stored Account Data</t>
  </si>
  <si>
    <t xml:space="preserve">3.1</t>
  </si>
  <si>
    <t xml:space="preserve">3</t>
  </si>
  <si>
    <t xml:space="preserve">Processes and mechanisms for protecting stored account data are defined and understood.</t>
  </si>
  <si>
    <t xml:space="preserve">Examine policies, procedures, and technical configurations; interview responsible personnel; observe implementations; inspect evidence documentation to confirm compliance with Requirement 3.1.</t>
  </si>
  <si>
    <t xml:space="preserve">3.1.1</t>
  </si>
  <si>
    <t xml:space="preserve">All security policies and operational procedures that are identified in Requirement 3 are: Documented; Kept up to date; In use; Known to all affected parties.</t>
  </si>
  <si>
    <t xml:space="preserve">Examine policies, procedures, and technical configurations; interview responsible personnel; observe implementations; inspect evidence documentation to confirm compliance with Requirement 3.1.1.</t>
  </si>
  <si>
    <t xml:space="preserve">3.1.2</t>
  </si>
  <si>
    <t xml:space="preserve">Roles and responsibilities for performing activities in Requirement 3 are documented, assigned, and understood.</t>
  </si>
  <si>
    <t xml:space="preserve">Examine policies, procedures, and technical configurations; interview responsible personnel; observe implementations; inspect evidence documentation to confirm compliance with Requirement 3.1.2.</t>
  </si>
  <si>
    <t xml:space="preserve">3.2</t>
  </si>
  <si>
    <t xml:space="preserve">Storage of account data is kept to a minimum.</t>
  </si>
  <si>
    <t xml:space="preserve">Examine policies, procedures, and technical configurations; interview responsible personnel; observe implementations; inspect evidence documentation to confirm compliance with Requirement 3.2.</t>
  </si>
  <si>
    <t xml:space="preserve">3.2.1</t>
  </si>
  <si>
    <t xml:space="preserve">Account data storage is minimized through data retention and disposal policies covering all locations, limiting retention to legal/business requirements, with quarterly verification and secure deletion processes.</t>
  </si>
  <si>
    <t xml:space="preserve">Quarterly</t>
  </si>
  <si>
    <t xml:space="preserve">Examine policies, procedures, and technical configurations; interview responsible personnel; observe implementations; inspect evidence documentation to confirm compliance with Requirement 3.2.1.</t>
  </si>
  <si>
    <t xml:space="preserve">3.3</t>
  </si>
  <si>
    <t xml:space="preserve">Sensitive authentication data (SAD) is not stored after authorization.</t>
  </si>
  <si>
    <t xml:space="preserve">Critical</t>
  </si>
  <si>
    <t xml:space="preserve">Examine policies, procedures, and technical configurations; interview responsible personnel; observe implementations; inspect evidence documentation to confirm compliance with Requirement 3.3.</t>
  </si>
  <si>
    <t xml:space="preserve">3.3.1</t>
  </si>
  <si>
    <t xml:space="preserve">SAD is not retained after authorization, even if encrypted. All SAD received is rendered unrecoverable upon completion of the authorization process.</t>
  </si>
  <si>
    <t xml:space="preserve">Examine policies and procedures; perform data discovery; verify SAD is not retained post-authorization.</t>
  </si>
  <si>
    <t xml:space="preserve">3.3.1.1</t>
  </si>
  <si>
    <t xml:space="preserve">The full contents of any track are not retained upon completion of the authorization process.</t>
  </si>
  <si>
    <t xml:space="preserve">Examine policies, procedures, and technical configurations; interview responsible personnel; observe implementations; inspect evidence documentation to confirm compliance with Requirement 3.3.1.1.</t>
  </si>
  <si>
    <t xml:space="preserve">3.3.1.2</t>
  </si>
  <si>
    <t xml:space="preserve">The card verification code is not retained upon completion of the authorization process.</t>
  </si>
  <si>
    <t xml:space="preserve">Examine policies, procedures, and technical configurations; interview responsible personnel; observe implementations; inspect evidence documentation to confirm compliance with Requirement 3.3.1.2.</t>
  </si>
  <si>
    <t xml:space="preserve">3.3.1.3</t>
  </si>
  <si>
    <t xml:space="preserve">The personal identification number (PIN) and the PIN block are not retained upon completion of the authorization process.</t>
  </si>
  <si>
    <t xml:space="preserve">Examine policies, procedures, and technical configurations; interview responsible personnel; observe implementations; inspect evidence documentation to confirm compliance with Requirement 3.3.1.3.</t>
  </si>
  <si>
    <t xml:space="preserve">3.3.2</t>
  </si>
  <si>
    <t xml:space="preserve">SAD that is stored electronically prior to completion of authorization is encrypted using strong cryptography. [BP until 31 Mar 2025]</t>
  </si>
  <si>
    <t xml:space="preserve">Examine policies, procedures, and technical configurations; interview responsible personnel; observe implementations; inspect evidence documentation to confirm compliance with Requirement 3.3.2.</t>
  </si>
  <si>
    <t xml:space="preserve">3.3.3</t>
  </si>
  <si>
    <t xml:space="preserve">Additional – issuers only: Any storage of SAD is limited to legitimate business need and secured/encrypted using strong cryptography.</t>
  </si>
  <si>
    <t xml:space="preserve">Issuers Only</t>
  </si>
  <si>
    <t xml:space="preserve">Examine policies, procedures, and technical configurations; interview responsible personnel; observe implementations; inspect evidence documentation to confirm compliance with Requirement 3.3.3.</t>
  </si>
  <si>
    <t xml:space="preserve">3.4</t>
  </si>
  <si>
    <t xml:space="preserve">Access to displays of full PAN and ability to copy account data is restricted.</t>
  </si>
  <si>
    <t xml:space="preserve">Milestone 5</t>
  </si>
  <si>
    <t xml:space="preserve">Examine policies, procedures, and technical configurations; interview responsible personnel; observe implementations; inspect evidence documentation to confirm compliance with Requirement 3.4.</t>
  </si>
  <si>
    <t xml:space="preserve">3.4.1</t>
  </si>
  <si>
    <t xml:space="preserve">PAN is masked when displayed (BIN and last four digits maximum) such that only personnel with a legitimate business need can see more.</t>
  </si>
  <si>
    <t xml:space="preserve">Examine policies, procedures, and technical configurations; interview responsible personnel; observe implementations; inspect evidence documentation to confirm compliance with Requirement 3.4.1.</t>
  </si>
  <si>
    <t xml:space="preserve">3.4.2</t>
  </si>
  <si>
    <t xml:space="preserve">When using remote-access technologies, technical controls prevent copy and/or relocation of PAN for all personnel except those with documented explicit authorization. [BP until 31 Mar 2025]</t>
  </si>
  <si>
    <t xml:space="preserve">Examine policies, procedures, and technical configurations; interview responsible personnel; observe implementations; inspect evidence documentation to confirm compliance with Requirement 3.4.2.</t>
  </si>
  <si>
    <t xml:space="preserve">3.5</t>
  </si>
  <si>
    <t xml:space="preserve">PAN is secured wherever it is stored.</t>
  </si>
  <si>
    <t xml:space="preserve">Examine policies, procedures, and technical configurations; interview responsible personnel; observe implementations; inspect evidence documentation to confirm compliance with Requirement 3.5.</t>
  </si>
  <si>
    <t xml:space="preserve">3.5.1</t>
  </si>
  <si>
    <t xml:space="preserve">PAN is rendered unreadable anywhere it is stored using: one-way hashes; truncation; index tokens; or strong cryptography with key management.</t>
  </si>
  <si>
    <t xml:space="preserve">Examine databases and flat files; verify PAN is rendered unreadable using approved methods.</t>
  </si>
  <si>
    <t xml:space="preserve">3.5.1.1</t>
  </si>
  <si>
    <t xml:space="preserve">Hashes used to render PAN unreadable are keyed cryptographic hashes of the entire PAN with associated key-management processes. [BP until 31 Mar 2025]</t>
  </si>
  <si>
    <t xml:space="preserve">Examine policies, procedures, and technical configurations; interview responsible personnel; observe implementations; inspect evidence documentation to confirm compliance with Requirement 3.5.1.1.</t>
  </si>
  <si>
    <t xml:space="preserve">3.5.1.2</t>
  </si>
  <si>
    <t xml:space="preserve">Disk/partition-level encryption to render PAN unreadable: only on removable media OR combined with another mechanism for non-removable media. [BP until 31 Mar 2025]</t>
  </si>
  <si>
    <t xml:space="preserve">Examine policies, procedures, and technical configurations; interview responsible personnel; observe implementations; inspect evidence documentation to confirm compliance with Requirement 3.5.1.2.</t>
  </si>
  <si>
    <t xml:space="preserve">3.5.1.3</t>
  </si>
  <si>
    <t xml:space="preserve">Disk/partition-level encryption is managed with logical access independent of native OS, no user account-linked decryption keys, and secure storage of auth factors.</t>
  </si>
  <si>
    <t xml:space="preserve">Examine policies, procedures, and technical configurations; interview responsible personnel; observe implementations; inspect evidence documentation to confirm compliance with Requirement 3.5.1.3.</t>
  </si>
  <si>
    <t xml:space="preserve">3.6</t>
  </si>
  <si>
    <t xml:space="preserve">Cryptographic keys used to protect stored account data are secured.</t>
  </si>
  <si>
    <t xml:space="preserve">Examine policies, procedures, and technical configurations; interview responsible personnel; observe implementations; inspect evidence documentation to confirm compliance with Requirement 3.6.</t>
  </si>
  <si>
    <t xml:space="preserve">3.6.1</t>
  </si>
  <si>
    <t xml:space="preserve">Procedures defined and implemented to protect cryptographic keys: access restricted to fewest custodians; key-encrypting keys at least as strong as data-encrypting keys; stored separately; fewest locations.</t>
  </si>
  <si>
    <t xml:space="preserve">Examine policies, procedures, and technical configurations; interview responsible personnel; observe implementations; inspect evidence documentation to confirm compliance with Requirement 3.6.1.</t>
  </si>
  <si>
    <t xml:space="preserve">3.6.1.1</t>
  </si>
  <si>
    <t xml:space="preserve">Additional – service providers only: Documented description of the cryptographic architecture is maintained including algorithms, protocols, key strength, expiry, usage, and HSM/KMS inventory.</t>
  </si>
  <si>
    <t xml:space="preserve">Service Providers Only</t>
  </si>
  <si>
    <t xml:space="preserve">Examine policies, procedures, and technical configurations; interview responsible personnel; observe implementations; inspect evidence documentation to confirm compliance with Requirement 3.6.1.1.</t>
  </si>
  <si>
    <t xml:space="preserve">3.6.1.2</t>
  </si>
  <si>
    <t xml:space="preserve">Secret and private keys used to protect stored account data are stored: encrypted with key-encrypting key; within an SCD/HSM; or as at least two full-length key components.</t>
  </si>
  <si>
    <t xml:space="preserve">Examine policies, procedures, and technical configurations; interview responsible personnel; observe implementations; inspect evidence documentation to confirm compliance with Requirement 3.6.1.2.</t>
  </si>
  <si>
    <t xml:space="preserve">3.6.1.3</t>
  </si>
  <si>
    <t xml:space="preserve">Access to cleartext cryptographic key components is restricted to the fewest number of custodians necessary.</t>
  </si>
  <si>
    <t xml:space="preserve">Examine policies, procedures, and technical configurations; interview responsible personnel; observe implementations; inspect evidence documentation to confirm compliance with Requirement 3.6.1.3.</t>
  </si>
  <si>
    <t xml:space="preserve">3.6.1.4</t>
  </si>
  <si>
    <t xml:space="preserve">Cryptographic keys are stored in the fewest possible locations.</t>
  </si>
  <si>
    <t xml:space="preserve">Examine policies, procedures, and technical configurations; interview responsible personnel; observe implementations; inspect evidence documentation to confirm compliance with Requirement 3.6.1.4.</t>
  </si>
  <si>
    <t xml:space="preserve">3.7</t>
  </si>
  <si>
    <t xml:space="preserve">Key management processes and procedures covering all aspects of the key lifecycle are defined and implemented.</t>
  </si>
  <si>
    <t xml:space="preserve">Examine policies, procedures, and technical configurations; interview responsible personnel; observe implementations; inspect evidence documentation to confirm compliance with Requirement 3.7.</t>
  </si>
  <si>
    <t xml:space="preserve">3.7.1</t>
  </si>
  <si>
    <t xml:space="preserve">Key-management policies and procedures for generation of strong cryptographic keys are implemented.</t>
  </si>
  <si>
    <t xml:space="preserve">Examine policies, procedures, and technical configurations; interview responsible personnel; observe implementations; inspect evidence documentation to confirm compliance with Requirement 3.7.1.</t>
  </si>
  <si>
    <t xml:space="preserve">3.7.2</t>
  </si>
  <si>
    <t xml:space="preserve">Key-management policies and procedures for secure distribution of cryptographic keys are implemented.</t>
  </si>
  <si>
    <t xml:space="preserve">Examine policies, procedures, and technical configurations; interview responsible personnel; observe implementations; inspect evidence documentation to confirm compliance with Requirement 3.7.2.</t>
  </si>
  <si>
    <t xml:space="preserve">3.7.3</t>
  </si>
  <si>
    <t xml:space="preserve">Key-management policies and procedures for secure storage of cryptographic keys are implemented.</t>
  </si>
  <si>
    <t xml:space="preserve">Examine policies, procedures, and technical configurations; interview responsible personnel; observe implementations; inspect evidence documentation to confirm compliance with Requirement 3.7.3.</t>
  </si>
  <si>
    <t xml:space="preserve">3.7.4</t>
  </si>
  <si>
    <t xml:space="preserve">Key management policies and procedures for key changes at end of cryptoperiod are implemented, including defined cryptoperiod per key type.</t>
  </si>
  <si>
    <t xml:space="preserve">Per cryptoperiod</t>
  </si>
  <si>
    <t xml:space="preserve">Examine policies, procedures, and technical configurations; interview responsible personnel; observe implementations; inspect evidence documentation to confirm compliance with Requirement 3.7.4.</t>
  </si>
  <si>
    <t xml:space="preserve">3.7.5</t>
  </si>
  <si>
    <t xml:space="preserve">Key management policies for retirement, replacement, or destruction of keys are implemented when: end of cryptoperiod; integrity weakened; or suspected compromise. Retired keys not used for encryption.</t>
  </si>
  <si>
    <t xml:space="preserve">Examine policies, procedures, and technical configurations; interview responsible personnel; observe implementations; inspect evidence documentation to confirm compliance with Requirement 3.7.5.</t>
  </si>
  <si>
    <t xml:space="preserve">3.7.6</t>
  </si>
  <si>
    <t xml:space="preserve">Where manual cleartext key-management operations are performed by personnel, split knowledge and dual control are implemented.</t>
  </si>
  <si>
    <t xml:space="preserve">Per operation</t>
  </si>
  <si>
    <t xml:space="preserve">Examine policies, procedures, and technical configurations; interview responsible personnel; observe implementations; inspect evidence documentation to confirm compliance with Requirement 3.7.6.</t>
  </si>
  <si>
    <t xml:space="preserve">3.7.7</t>
  </si>
  <si>
    <t xml:space="preserve">Key management policies include prevention of unauthorized substitution of cryptographic keys.</t>
  </si>
  <si>
    <t xml:space="preserve">Examine policies, procedures, and technical configurations; interview responsible personnel; observe implementations; inspect evidence documentation to confirm compliance with Requirement 3.7.7.</t>
  </si>
  <si>
    <t xml:space="preserve">3.7.8</t>
  </si>
  <si>
    <t xml:space="preserve">Cryptographic key custodians formally acknowledge (in writing or electronically) their key-custodian responsibilities.</t>
  </si>
  <si>
    <t xml:space="preserve">Per assignment</t>
  </si>
  <si>
    <t xml:space="preserve">Examine policies, procedures, and technical configurations; interview responsible personnel; observe implementations; inspect evidence documentation to confirm compliance with Requirement 3.7.8.</t>
  </si>
  <si>
    <t xml:space="preserve">3.7.9</t>
  </si>
  <si>
    <t xml:space="preserve">Additional – service providers only: Guidance on secure transmission, storage, and updating of cryptographic keys shared with customers is documented and distributed.</t>
  </si>
  <si>
    <t xml:space="preserve">Examine policies, procedures, and technical configurations; interview responsible personnel; observe implementations; inspect evidence documentation to confirm compliance with Requirement 3.7.9.</t>
  </si>
  <si>
    <t xml:space="preserve">Req 4: Cryptography During Transmission</t>
  </si>
  <si>
    <t xml:space="preserve">4.1</t>
  </si>
  <si>
    <t xml:space="preserve">4</t>
  </si>
  <si>
    <t xml:space="preserve">Processes and mechanisms for protecting cardholder data during transmission are defined and documented.</t>
  </si>
  <si>
    <t xml:space="preserve">Examine policies, procedures, and technical configurations; interview responsible personnel; observe implementations; inspect evidence documentation to confirm compliance with Requirement 4.1.</t>
  </si>
  <si>
    <t xml:space="preserve">4.1.1</t>
  </si>
  <si>
    <t xml:space="preserve">All security policies and operational procedures identified in Requirement 4 are: Documented; Kept up to date; In use; Known to all affected parties.</t>
  </si>
  <si>
    <t xml:space="preserve">Examine policies, procedures, and technical configurations; interview responsible personnel; observe implementations; inspect evidence documentation to confirm compliance with Requirement 4.1.1.</t>
  </si>
  <si>
    <t xml:space="preserve">4.1.2</t>
  </si>
  <si>
    <t xml:space="preserve">Roles and responsibilities for performing activities in Requirement 4 are documented, assigned, and understood.</t>
  </si>
  <si>
    <t xml:space="preserve">Examine policies, procedures, and technical configurations; interview responsible personnel; observe implementations; inspect evidence documentation to confirm compliance with Requirement 4.1.2.</t>
  </si>
  <si>
    <t xml:space="preserve">4.2</t>
  </si>
  <si>
    <t xml:space="preserve">PAN is protected with strong cryptography during transmission.</t>
  </si>
  <si>
    <t xml:space="preserve">Examine policies, procedures, and technical configurations; interview responsible personnel; observe implementations; inspect evidence documentation to confirm compliance with Requirement 4.2.</t>
  </si>
  <si>
    <t xml:space="preserve">4.2.1</t>
  </si>
  <si>
    <t xml:space="preserve">Strong cryptography and security protocols implemented for PAN transmission over open public networks: only trusted keys/certs accepted; valid certs; secure protocol versions; appropriate encryption strength.</t>
  </si>
  <si>
    <t xml:space="preserve">Examine system configurations and security policies; verify strong cryptography protocols are in use (TLS 1.2 or higher).</t>
  </si>
  <si>
    <t xml:space="preserve">4.2.1.1</t>
  </si>
  <si>
    <t xml:space="preserve">An inventory of the entity's trusted keys and certificates is maintained. [BP until 31 Mar 2025]</t>
  </si>
  <si>
    <t xml:space="preserve">Examine policies, procedures, and technical configurations; interview responsible personnel; observe implementations; inspect evidence documentation to confirm compliance with Requirement 4.2.1.1.</t>
  </si>
  <si>
    <t xml:space="preserve">4.2.1.2</t>
  </si>
  <si>
    <t xml:space="preserve">Wireless networks transmitting PAN or connected to the CDE use industry best practices for strong cryptography for authentication and transmission.</t>
  </si>
  <si>
    <t xml:space="preserve">Examine policies, procedures, and technical configurations; interview responsible personnel; observe implementations; inspect evidence documentation to confirm compliance with Requirement 4.2.1.2.</t>
  </si>
  <si>
    <t xml:space="preserve">4.2.2</t>
  </si>
  <si>
    <t xml:space="preserve">PAN is secured with strong cryptography whenever it is sent via end-user messaging technologies.</t>
  </si>
  <si>
    <t xml:space="preserve">Examine policies, procedures, and technical configurations; interview responsible personnel; observe implementations; inspect evidence documentation to confirm compliance with Requirement 4.2.2.</t>
  </si>
  <si>
    <t xml:space="preserve">Req 5: Protection from Malicious Software</t>
  </si>
  <si>
    <t xml:space="preserve">5.1</t>
  </si>
  <si>
    <t xml:space="preserve">5</t>
  </si>
  <si>
    <t xml:space="preserve">Processes and mechanisms for protecting all systems and networks from malicious software are defined and understood.</t>
  </si>
  <si>
    <t xml:space="preserve">Examine policies, procedures, and technical configurations; interview responsible personnel; observe implementations; inspect evidence documentation to confirm compliance with Requirement 5.1.</t>
  </si>
  <si>
    <t xml:space="preserve">5.1.1</t>
  </si>
  <si>
    <t xml:space="preserve">All security policies and operational procedures identified in Requirement 5 are: Documented; Kept up to date; In use; Known to all affected parties.</t>
  </si>
  <si>
    <t xml:space="preserve">Examine policies, procedures, and technical configurations; interview responsible personnel; observe implementations; inspect evidence documentation to confirm compliance with Requirement 5.1.1.</t>
  </si>
  <si>
    <t xml:space="preserve">5.1.2</t>
  </si>
  <si>
    <t xml:space="preserve">Roles and responsibilities for performing activities in Requirement 5 are documented, assigned, and understood.</t>
  </si>
  <si>
    <t xml:space="preserve">Examine policies, procedures, and technical configurations; interview responsible personnel; observe implementations; inspect evidence documentation to confirm compliance with Requirement 5.1.2.</t>
  </si>
  <si>
    <t xml:space="preserve">5.2</t>
  </si>
  <si>
    <t xml:space="preserve">Malicious software (malware) is prevented, or detected and addressed.</t>
  </si>
  <si>
    <t xml:space="preserve">Examine policies, procedures, and technical configurations; interview responsible personnel; observe implementations; inspect evidence documentation to confirm compliance with Requirement 5.2.</t>
  </si>
  <si>
    <t xml:space="preserve">5.2.1</t>
  </si>
  <si>
    <t xml:space="preserve">An anti-malware solution(s) is deployed on all system components, except those periodically evaluated as not at risk from malware per Requirement 5.2.3.</t>
  </si>
  <si>
    <t xml:space="preserve">Examine system components; verify anti-malware solution is deployed on all applicable components.</t>
  </si>
  <si>
    <t xml:space="preserve">5.2.2</t>
  </si>
  <si>
    <t xml:space="preserve">The deployed anti-malware solution(s): detects all known types of malware; removes, blocks, or contains all known types of malware.</t>
  </si>
  <si>
    <t xml:space="preserve">Examine policies, procedures, and technical configurations; interview responsible personnel; observe implementations; inspect evidence documentation to confirm compliance with Requirement 5.2.2.</t>
  </si>
  <si>
    <t xml:space="preserve">5.2.3</t>
  </si>
  <si>
    <t xml:space="preserve">System components not at risk for malware are evaluated periodically with: a documented list; identification/evaluation of evolving threats; confirmation of continued non-requirement for anti-malware.</t>
  </si>
  <si>
    <t xml:space="preserve">Periodic (per TRA)</t>
  </si>
  <si>
    <t xml:space="preserve">Examine policies, procedures, and technical configurations; interview responsible personnel; observe implementations; inspect evidence documentation to confirm compliance with Requirement 5.2.3.</t>
  </si>
  <si>
    <t xml:space="preserve">5.2.3.1</t>
  </si>
  <si>
    <t xml:space="preserve">The frequency of periodic evaluations of system components identified as not at risk for malware is defined in the entity's targeted risk analysis. [BP until 31 Mar 2025]</t>
  </si>
  <si>
    <t xml:space="preserve">Per TRA</t>
  </si>
  <si>
    <t xml:space="preserve">Examine policies, procedures, and technical configurations; interview responsible personnel; observe implementations; inspect evidence documentation to confirm compliance with Requirement 5.2.3.1.</t>
  </si>
  <si>
    <t xml:space="preserve">5.3</t>
  </si>
  <si>
    <t xml:space="preserve">Anti-malware mechanisms and processes are active, maintained, and monitored.</t>
  </si>
  <si>
    <t xml:space="preserve">Examine policies, procedures, and technical configurations; interview responsible personnel; observe implementations; inspect evidence documentation to confirm compliance with Requirement 5.3.</t>
  </si>
  <si>
    <t xml:space="preserve">5.3.1</t>
  </si>
  <si>
    <t xml:space="preserve">The anti-malware solution(s) is kept current via automatic updates.</t>
  </si>
  <si>
    <t xml:space="preserve">Examine policies, procedures, and technical configurations; interview responsible personnel; observe implementations; inspect evidence documentation to confirm compliance with Requirement 5.3.1.</t>
  </si>
  <si>
    <t xml:space="preserve">5.3.2</t>
  </si>
  <si>
    <t xml:space="preserve">The anti-malware solution(s): performs periodic scans and active/real-time scans OR continuous behavioral analysis of systems or processes.</t>
  </si>
  <si>
    <t xml:space="preserve">Examine policies, procedures, and technical configurations; interview responsible personnel; observe implementations; inspect evidence documentation to confirm compliance with Requirement 5.3.2.</t>
  </si>
  <si>
    <t xml:space="preserve">5.3.2.1</t>
  </si>
  <si>
    <t xml:space="preserve">If periodic malware scans are performed, the frequency is defined in the entity's targeted risk analysis. [BP until 31 Mar 2025]</t>
  </si>
  <si>
    <t xml:space="preserve">Examine policies, procedures, and technical configurations; interview responsible personnel; observe implementations; inspect evidence documentation to confirm compliance with Requirement 5.3.2.1.</t>
  </si>
  <si>
    <t xml:space="preserve">5.3.3</t>
  </si>
  <si>
    <t xml:space="preserve">For removable electronic media, the anti-malware solution performs automatic scans when media is inserted/connected, or performs continuous behavioral analysis. [BP until 31 Mar 2025]</t>
  </si>
  <si>
    <t xml:space="preserve">Per insertion</t>
  </si>
  <si>
    <t xml:space="preserve">Examine policies, procedures, and technical configurations; interview responsible personnel; observe implementations; inspect evidence documentation to confirm compliance with Requirement 5.3.3.</t>
  </si>
  <si>
    <t xml:space="preserve">5.3.4</t>
  </si>
  <si>
    <t xml:space="preserve">Audit logs for the anti-malware solution(s) are enabled and retained in accordance with Requirement 10.5.1.</t>
  </si>
  <si>
    <t xml:space="preserve">Examine policies, procedures, and technical configurations; interview responsible personnel; observe implementations; inspect evidence documentation to confirm compliance with Requirement 5.3.4.</t>
  </si>
  <si>
    <t xml:space="preserve">5.3.5</t>
  </si>
  <si>
    <t xml:space="preserve">Anti-malware mechanisms cannot be disabled or altered by users, unless specifically documented and authorized by management on a case-by-case basis for a limited time period.</t>
  </si>
  <si>
    <t xml:space="preserve">Examine policies, procedures, and technical configurations; interview responsible personnel; observe implementations; inspect evidence documentation to confirm compliance with Requirement 5.3.5.</t>
  </si>
  <si>
    <t xml:space="preserve">5.4</t>
  </si>
  <si>
    <t xml:space="preserve">Anti-phishing mechanisms protect users against phishing attacks.</t>
  </si>
  <si>
    <t xml:space="preserve">Examine policies, procedures, and technical configurations; interview responsible personnel; observe implementations; inspect evidence documentation to confirm compliance with Requirement 5.4.</t>
  </si>
  <si>
    <t xml:space="preserve">5.4.1</t>
  </si>
  <si>
    <t xml:space="preserve">Processes and automated mechanisms are in place to detect and protect personnel against phishing attacks. [BP until 31 Mar 2025]</t>
  </si>
  <si>
    <t xml:space="preserve">Examine policies, procedures, and technical configurations; interview responsible personnel; observe implementations; inspect evidence documentation to confirm compliance with Requirement 5.4.1.</t>
  </si>
  <si>
    <t xml:space="preserve">Req 6: Secure Systems &amp; Software</t>
  </si>
  <si>
    <t xml:space="preserve">6.1</t>
  </si>
  <si>
    <t xml:space="preserve">6</t>
  </si>
  <si>
    <t xml:space="preserve">Processes and mechanisms for developing and maintaining secure systems and software are defined and understood.</t>
  </si>
  <si>
    <t xml:space="preserve">Examine policies, procedures, and technical configurations; interview responsible personnel; observe implementations; inspect evidence documentation to confirm compliance with Requirement 6.1.</t>
  </si>
  <si>
    <t xml:space="preserve">6.1.1</t>
  </si>
  <si>
    <t xml:space="preserve">All security policies and operational procedures identified in Requirement 6 are: Documented; Kept up to date; In use; Known to all affected parties.</t>
  </si>
  <si>
    <t xml:space="preserve">Examine policies, procedures, and technical configurations; interview responsible personnel; observe implementations; inspect evidence documentation to confirm compliance with Requirement 6.1.1.</t>
  </si>
  <si>
    <t xml:space="preserve">6.1.2</t>
  </si>
  <si>
    <t xml:space="preserve">Roles and responsibilities for performing activities in Requirement 6 are documented, assigned, and understood.</t>
  </si>
  <si>
    <t xml:space="preserve">Examine policies, procedures, and technical configurations; interview responsible personnel; observe implementations; inspect evidence documentation to confirm compliance with Requirement 6.1.2.</t>
  </si>
  <si>
    <t xml:space="preserve">6.2</t>
  </si>
  <si>
    <t xml:space="preserve">Bespoke and custom software is developed securely.</t>
  </si>
  <si>
    <t xml:space="preserve">Milestone 3</t>
  </si>
  <si>
    <t xml:space="preserve">Examine policies, procedures, and technical configurations; interview responsible personnel; observe implementations; inspect evidence documentation to confirm compliance with Requirement 6.2.</t>
  </si>
  <si>
    <t xml:space="preserve">6.2.1</t>
  </si>
  <si>
    <t xml:space="preserve">Bespoke and custom software are developed securely: based on industry standards; in accordance with PCI DSS; incorporating security considerations throughout the SDLC.</t>
  </si>
  <si>
    <t xml:space="preserve">Examine policies, procedures, and technical configurations; interview responsible personnel; observe implementations; inspect evidence documentation to confirm compliance with Requirement 6.2.1.</t>
  </si>
  <si>
    <t xml:space="preserve">6.2.2</t>
  </si>
  <si>
    <t xml:space="preserve">Software development personnel working on bespoke/custom software are trained at least once every 12 months on software security relevant to their job function.</t>
  </si>
  <si>
    <t xml:space="preserve">Annual</t>
  </si>
  <si>
    <t xml:space="preserve">Examine policies, procedures, and technical configurations; interview responsible personnel; observe implementations; inspect evidence documentation to confirm compliance with Requirement 6.2.2.</t>
  </si>
  <si>
    <t xml:space="preserve">6.2.3</t>
  </si>
  <si>
    <t xml:space="preserve">Bespoke and custom software is reviewed prior to release to production to identify and correct potential coding vulnerabilities using secure coding guidelines.</t>
  </si>
  <si>
    <t xml:space="preserve">Per release</t>
  </si>
  <si>
    <t xml:space="preserve">Examine policies, procedures, and technical configurations; interview responsible personnel; observe implementations; inspect evidence documentation to confirm compliance with Requirement 6.2.3.</t>
  </si>
  <si>
    <t xml:space="preserve">6.2.3.1</t>
  </si>
  <si>
    <t xml:space="preserve">If manual code reviews are performed, code changes are reviewed by individuals other than the originating author and approved by management prior to release.</t>
  </si>
  <si>
    <t xml:space="preserve">Examine policies, procedures, and technical configurations; interview responsible personnel; observe implementations; inspect evidence documentation to confirm compliance with Requirement 6.2.3.1.</t>
  </si>
  <si>
    <t xml:space="preserve">6.2.4</t>
  </si>
  <si>
    <t xml:space="preserve">Software engineering techniques defined and in use to prevent/mitigate: injection attacks; data/structure attacks; cryptography attacks; business logic attacks; access control attacks; high-risk vulnerabilities.</t>
  </si>
  <si>
    <t xml:space="preserve">Examine policies, procedures, and technical configurations; interview responsible personnel; observe implementations; inspect evidence documentation to confirm compliance with Requirement 6.2.4.</t>
  </si>
  <si>
    <t xml:space="preserve">6.3</t>
  </si>
  <si>
    <t xml:space="preserve">Security vulnerabilities are identified and addressed.</t>
  </si>
  <si>
    <t xml:space="preserve">Examine policies, procedures, and technical configurations; interview responsible personnel; observe implementations; inspect evidence documentation to confirm compliance with Requirement 6.3.</t>
  </si>
  <si>
    <t xml:space="preserve">6.3.1</t>
  </si>
  <si>
    <t xml:space="preserve">Security vulnerabilities are identified and managed: using industry-recognized sources; assigned risk rankings based on industry best practices; covering bespoke, custom, and third-party software.</t>
  </si>
  <si>
    <t xml:space="preserve">Examine vulnerability management process; verify industry sources are monitored; vulnerabilities are risk-ranked.</t>
  </si>
  <si>
    <t xml:space="preserve">6.3.2</t>
  </si>
  <si>
    <t xml:space="preserve">An inventory of bespoke/custom software and third-party software components is maintained to facilitate vulnerability and patch management. [BP until 31 Mar 2025]</t>
  </si>
  <si>
    <t xml:space="preserve">Examine policies, procedures, and technical configurations; interview responsible personnel; observe implementations; inspect evidence documentation to confirm compliance with Requirement 6.3.2.</t>
  </si>
  <si>
    <t xml:space="preserve">6.3.3</t>
  </si>
  <si>
    <t xml:space="preserve">All system components are protected from known vulnerabilities: critical/high patches installed within 1 month; all other applicable patches within appropriate timeframe (e.g. 3 months).</t>
  </si>
  <si>
    <t xml:space="preserve">Monthly (critical)</t>
  </si>
  <si>
    <t xml:space="preserve">Examine patch management processes and system components; verify critical/high patches installed within 1 month.</t>
  </si>
  <si>
    <t xml:space="preserve">6.4</t>
  </si>
  <si>
    <t xml:space="preserve">Public-facing web applications are protected against attacks.</t>
  </si>
  <si>
    <t xml:space="preserve">Examine policies, procedures, and technical configurations; interview responsible personnel; observe implementations; inspect evidence documentation to confirm compliance with Requirement 6.4.</t>
  </si>
  <si>
    <t xml:space="preserve">6.4.1</t>
  </si>
  <si>
    <t xml:space="preserve">For public-facing web applications, new threats/vulnerabilities are addressed on an ongoing basis; applications reviewed at least every 12 months and after significant changes by security specialist.</t>
  </si>
  <si>
    <t xml:space="preserve">Annual + per change</t>
  </si>
  <si>
    <t xml:space="preserve">Examine policies, procedures, and technical configurations; interview responsible personnel; observe implementations; inspect evidence documentation to confirm compliance with Requirement 6.4.1.</t>
  </si>
  <si>
    <t xml:space="preserve">6.4.2</t>
  </si>
  <si>
    <t xml:space="preserve">For public-facing web applications, an automated technical solution is deployed that continually detects and prevents web-based attacks (WAF), is actively running and up to date, and generates audit logs. [BP until 31 Mar 2025]</t>
  </si>
  <si>
    <t xml:space="preserve">Examine policies, procedures, and technical configurations; interview responsible personnel; observe implementations; inspect evidence documentation to confirm compliance with Requirement 6.4.2.</t>
  </si>
  <si>
    <t xml:space="preserve">6.4.3</t>
  </si>
  <si>
    <t xml:space="preserve">All payment page scripts loaded in the consumer browser are managed: authorization confirmed; integrity assured; inventory maintained with written justification. [BP until 31 Mar 2025]</t>
  </si>
  <si>
    <t xml:space="preserve">Examine policies, procedures, and technical configurations; interview responsible personnel; observe implementations; inspect evidence documentation to confirm compliance with Requirement 6.4.3.</t>
  </si>
  <si>
    <t xml:space="preserve">6.5</t>
  </si>
  <si>
    <t xml:space="preserve">Changes to all system components are managed securely.</t>
  </si>
  <si>
    <t xml:space="preserve">Examine policies, procedures, and technical configurations; interview responsible personnel; observe implementations; inspect evidence documentation to confirm compliance with Requirement 6.5.</t>
  </si>
  <si>
    <t xml:space="preserve">6.5.1</t>
  </si>
  <si>
    <t xml:space="preserve">Changes to all system components in production are made according to procedures including: reason/description; security impact; documented approval; testing; compliance verification; failure recovery procedures.</t>
  </si>
  <si>
    <t xml:space="preserve">Examine policies, procedures, and technical configurations; interview responsible personnel; observe implementations; inspect evidence documentation to confirm compliance with Requirement 6.5.1.</t>
  </si>
  <si>
    <t xml:space="preserve">6.5.2</t>
  </si>
  <si>
    <t xml:space="preserve">Upon completion of a significant change, all applicable PCI DSS requirements are confirmed to be in place on all new/changed systems; documentation updated.</t>
  </si>
  <si>
    <t xml:space="preserve">Per significant change</t>
  </si>
  <si>
    <t xml:space="preserve">Examine policies, procedures, and technical configurations; interview responsible personnel; observe implementations; inspect evidence documentation to confirm compliance with Requirement 6.5.2.</t>
  </si>
  <si>
    <t xml:space="preserve">6.5.3</t>
  </si>
  <si>
    <t xml:space="preserve">Pre-production environments are separated from production environments and the separation is enforced with access controls.</t>
  </si>
  <si>
    <t xml:space="preserve">Examine policies, procedures, and technical configurations; interview responsible personnel; observe implementations; inspect evidence documentation to confirm compliance with Requirement 6.5.3.</t>
  </si>
  <si>
    <t xml:space="preserve">6.5.4</t>
  </si>
  <si>
    <t xml:space="preserve">Roles and functions are separated between production and pre-production environments to provide accountability such that only reviewed and approved changes are deployed.</t>
  </si>
  <si>
    <t xml:space="preserve">Examine policies, procedures, and technical configurations; interview responsible personnel; observe implementations; inspect evidence documentation to confirm compliance with Requirement 6.5.4.</t>
  </si>
  <si>
    <t xml:space="preserve">6.5.5</t>
  </si>
  <si>
    <t xml:space="preserve">Live PANs are not used in pre-production environments, except where those environments are included in the CDE and protected in accordance with all applicable PCI DSS requirements.</t>
  </si>
  <si>
    <t xml:space="preserve">Examine policies, procedures, and technical configurations; interview responsible personnel; observe implementations; inspect evidence documentation to confirm compliance with Requirement 6.5.5.</t>
  </si>
  <si>
    <t xml:space="preserve">6.5.6</t>
  </si>
  <si>
    <t xml:space="preserve">Test data and test accounts are removed from system components before the system goes into production.</t>
  </si>
  <si>
    <t xml:space="preserve">Examine policies, procedures, and technical configurations; interview responsible personnel; observe implementations; inspect evidence documentation to confirm compliance with Requirement 6.5.6.</t>
  </si>
  <si>
    <t xml:space="preserve">Req 7: Restrict Access by Need to Know</t>
  </si>
  <si>
    <t xml:space="preserve">7.1</t>
  </si>
  <si>
    <t xml:space="preserve">7</t>
  </si>
  <si>
    <t xml:space="preserve">Processes and mechanisms for restricting access by business need to know are defined and understood.</t>
  </si>
  <si>
    <t xml:space="preserve">Examine policies, procedures, and technical configurations; interview responsible personnel; observe implementations; inspect evidence documentation to confirm compliance with Requirement 7.1.</t>
  </si>
  <si>
    <t xml:space="preserve">7.1.1</t>
  </si>
  <si>
    <t xml:space="preserve">All security policies and operational procedures identified in Requirement 7 are: Documented; Kept up to date; In use; Known to all affected parties.</t>
  </si>
  <si>
    <t xml:space="preserve">Examine policies, procedures, and technical configurations; interview responsible personnel; observe implementations; inspect evidence documentation to confirm compliance with Requirement 7.1.1.</t>
  </si>
  <si>
    <t xml:space="preserve">7.1.2</t>
  </si>
  <si>
    <t xml:space="preserve">Roles and responsibilities for performing activities in Requirement 7 are documented, assigned, and understood.</t>
  </si>
  <si>
    <t xml:space="preserve">Examine policies, procedures, and technical configurations; interview responsible personnel; observe implementations; inspect evidence documentation to confirm compliance with Requirement 7.1.2.</t>
  </si>
  <si>
    <t xml:space="preserve">7.2</t>
  </si>
  <si>
    <t xml:space="preserve">Access to system components and data is appropriately defined and assigned.</t>
  </si>
  <si>
    <t xml:space="preserve">Milestone 4</t>
  </si>
  <si>
    <t xml:space="preserve">Examine policies, procedures, and technical configurations; interview responsible personnel; observe implementations; inspect evidence documentation to confirm compliance with Requirement 7.2.</t>
  </si>
  <si>
    <t xml:space="preserve">7.2.1</t>
  </si>
  <si>
    <t xml:space="preserve">An access control model is defined granting access based on business needs, job classification/function, and least privileges required.</t>
  </si>
  <si>
    <t xml:space="preserve">Examine access control model documentation; verify access is granted based on need to know and least privilege.</t>
  </si>
  <si>
    <t xml:space="preserve">7.2.2</t>
  </si>
  <si>
    <t xml:space="preserve">Access is assigned to users, including privileged users, based on job classification and function, and least privileges necessary.</t>
  </si>
  <si>
    <t xml:space="preserve">Examine policies, procedures, and technical configurations; interview responsible personnel; observe implementations; inspect evidence documentation to confirm compliance with Requirement 7.2.2.</t>
  </si>
  <si>
    <t xml:space="preserve">7.2.3</t>
  </si>
  <si>
    <t xml:space="preserve">Required privileges are approved by authorized personnel.</t>
  </si>
  <si>
    <t xml:space="preserve">Per request</t>
  </si>
  <si>
    <t xml:space="preserve">Examine policies, procedures, and technical configurations; interview responsible personnel; observe implementations; inspect evidence documentation to confirm compliance with Requirement 7.2.3.</t>
  </si>
  <si>
    <t xml:space="preserve">7.2.4</t>
  </si>
  <si>
    <t xml:space="preserve">All user accounts and related access privileges, including third-party/vendor accounts, are reviewed at least once every six months to ensure appropriateness. [BP until 31 Mar 2025]</t>
  </si>
  <si>
    <t xml:space="preserve">Examine policies, procedures, and technical configurations; interview responsible personnel; observe implementations; inspect evidence documentation to confirm compliance with Requirement 7.2.4.</t>
  </si>
  <si>
    <t xml:space="preserve">7.2.5</t>
  </si>
  <si>
    <t xml:space="preserve">All application and system accounts and related access privileges are assigned and managed based on least privileges necessary. [BP until 31 Mar 2025]</t>
  </si>
  <si>
    <t xml:space="preserve">Examine policies, procedures, and technical configurations; interview responsible personnel; observe implementations; inspect evidence documentation to confirm compliance with Requirement 7.2.5.</t>
  </si>
  <si>
    <t xml:space="preserve">7.2.5.1</t>
  </si>
  <si>
    <t xml:space="preserve">All access by application/system accounts is reviewed periodically per TRA frequency; access remains appropriate; inappropriate access is addressed. [BP until 31 Mar 2025]</t>
  </si>
  <si>
    <t xml:space="preserve">Examine policies, procedures, and technical configurations; interview responsible personnel; observe implementations; inspect evidence documentation to confirm compliance with Requirement 7.2.5.1.</t>
  </si>
  <si>
    <t xml:space="preserve">7.2.6</t>
  </si>
  <si>
    <t xml:space="preserve">All user access to query repositories of stored cardholder data is restricted via applications/programmatic methods with role-based access and least privileges.</t>
  </si>
  <si>
    <t xml:space="preserve">Examine policies, procedures, and technical configurations; interview responsible personnel; observe implementations; inspect evidence documentation to confirm compliance with Requirement 7.2.6.</t>
  </si>
  <si>
    <t xml:space="preserve">7.3</t>
  </si>
  <si>
    <t xml:space="preserve">Logical access to system components and data is managed via an access control system(s).</t>
  </si>
  <si>
    <t xml:space="preserve">Examine policies, procedures, and technical configurations; interview responsible personnel; observe implementations; inspect evidence documentation to confirm compliance with Requirement 7.3.</t>
  </si>
  <si>
    <t xml:space="preserve">7.3.1</t>
  </si>
  <si>
    <t xml:space="preserve">An access control system(s) is in place that restricts access based on a user's need to know and covers all system components.</t>
  </si>
  <si>
    <t xml:space="preserve">Examine policies, procedures, and technical configurations; interview responsible personnel; observe implementations; inspect evidence documentation to confirm compliance with Requirement 7.3.1.</t>
  </si>
  <si>
    <t xml:space="preserve">7.3.2</t>
  </si>
  <si>
    <t xml:space="preserve">The access control system(s) is configured to enforce privileges assigned to individuals, applications, and systems based on job classification and function.</t>
  </si>
  <si>
    <t xml:space="preserve">Examine policies, procedures, and technical configurations; interview responsible personnel; observe implementations; inspect evidence documentation to confirm compliance with Requirement 7.3.2.</t>
  </si>
  <si>
    <t xml:space="preserve">7.3.3</t>
  </si>
  <si>
    <t xml:space="preserve">The access control system(s) is set to 'deny all' by default.</t>
  </si>
  <si>
    <t xml:space="preserve">Examine policies, procedures, and technical configurations; interview responsible personnel; observe implementations; inspect evidence documentation to confirm compliance with Requirement 7.3.3.</t>
  </si>
  <si>
    <t xml:space="preserve">Req 8: Identify Users &amp; Authenticate Access</t>
  </si>
  <si>
    <t xml:space="preserve">8.1</t>
  </si>
  <si>
    <t xml:space="preserve">8</t>
  </si>
  <si>
    <t xml:space="preserve">Processes and mechanisms for identifying users and authenticating access to system components are defined and understood.</t>
  </si>
  <si>
    <t xml:space="preserve">Examine policies, procedures, and technical configurations; interview responsible personnel; observe implementations; inspect evidence documentation to confirm compliance with Requirement 8.1.</t>
  </si>
  <si>
    <t xml:space="preserve">8.1.1</t>
  </si>
  <si>
    <t xml:space="preserve">All security policies and operational procedures identified in Requirement 8 are: Documented; Kept up to date; In use; Known to all affected parties.</t>
  </si>
  <si>
    <t xml:space="preserve">Examine policies, procedures, and technical configurations; interview responsible personnel; observe implementations; inspect evidence documentation to confirm compliance with Requirement 8.1.1.</t>
  </si>
  <si>
    <t xml:space="preserve">8.1.2</t>
  </si>
  <si>
    <t xml:space="preserve">Roles and responsibilities for performing activities in Requirement 8 are documented, assigned, and understood.</t>
  </si>
  <si>
    <t xml:space="preserve">Examine policies, procedures, and technical configurations; interview responsible personnel; observe implementations; inspect evidence documentation to confirm compliance with Requirement 8.1.2.</t>
  </si>
  <si>
    <t xml:space="preserve">8.2</t>
  </si>
  <si>
    <t xml:space="preserve">User identification and related accounts are strictly managed throughout an account's lifecycle.</t>
  </si>
  <si>
    <t xml:space="preserve">Examine policies, procedures, and technical configurations; interview responsible personnel; observe implementations; inspect evidence documentation to confirm compliance with Requirement 8.2.</t>
  </si>
  <si>
    <t xml:space="preserve">8.2.1</t>
  </si>
  <si>
    <t xml:space="preserve">All users are assigned a unique ID before access to system components or cardholder data is allowed.</t>
  </si>
  <si>
    <t xml:space="preserve">Examine user account lists; verify all users are assigned unique IDs.</t>
  </si>
  <si>
    <t xml:space="preserve">8.2.2</t>
  </si>
  <si>
    <t xml:space="preserve">Group, shared, or generic accounts are only used when necessary on an exception basis with management approval, time-limited, and all actions attributable to an individual.</t>
  </si>
  <si>
    <t xml:space="preserve">Exception-based</t>
  </si>
  <si>
    <t xml:space="preserve">Examine policies, procedures, and technical configurations; interview responsible personnel; observe implementations; inspect evidence documentation to confirm compliance with Requirement 8.2.2.</t>
  </si>
  <si>
    <t xml:space="preserve">8.2.3</t>
  </si>
  <si>
    <t xml:space="preserve">Additional – service providers only: Service providers with remote access to customer premises use unique authentication factors for each customer premises.</t>
  </si>
  <si>
    <t xml:space="preserve">Examine policies, procedures, and technical configurations; interview responsible personnel; observe implementations; inspect evidence documentation to confirm compliance with Requirement 8.2.3.</t>
  </si>
  <si>
    <t xml:space="preserve">8.2.4</t>
  </si>
  <si>
    <t xml:space="preserve">Addition, deletion, and modification of user IDs and authentication factors are managed with appropriate approval and implemented with only specified privileges.</t>
  </si>
  <si>
    <t xml:space="preserve">Examine policies, procedures, and technical configurations; interview responsible personnel; observe implementations; inspect evidence documentation to confirm compliance with Requirement 8.2.4.</t>
  </si>
  <si>
    <t xml:space="preserve">8.2.5</t>
  </si>
  <si>
    <t xml:space="preserve">Access for terminated users is immediately revoked.</t>
  </si>
  <si>
    <t xml:space="preserve">Per termination</t>
  </si>
  <si>
    <t xml:space="preserve">Examine policies, procedures, and technical configurations; interview responsible personnel; observe implementations; inspect evidence documentation to confirm compliance with Requirement 8.2.5.</t>
  </si>
  <si>
    <t xml:space="preserve">8.2.6</t>
  </si>
  <si>
    <t xml:space="preserve">Inactive user accounts are removed or disabled within 90 days of inactivity.</t>
  </si>
  <si>
    <t xml:space="preserve">Examine policies, procedures, and technical configurations; interview responsible personnel; observe implementations; inspect evidence documentation to confirm compliance with Requirement 8.2.6.</t>
  </si>
  <si>
    <t xml:space="preserve">8.2.7</t>
  </si>
  <si>
    <t xml:space="preserve">Accounts used by third parties via remote access: enabled only during time needed; disabled when not in use; monitored for unexpected activity.</t>
  </si>
  <si>
    <t xml:space="preserve">Examine policies, procedures, and technical configurations; interview responsible personnel; observe implementations; inspect evidence documentation to confirm compliance with Requirement 8.2.7.</t>
  </si>
  <si>
    <t xml:space="preserve">8.2.8</t>
  </si>
  <si>
    <t xml:space="preserve">If a user session has been idle for more than 15 minutes, the user is required to re-authenticate.</t>
  </si>
  <si>
    <t xml:space="preserve">Examine policies, procedures, and technical configurations; interview responsible personnel; observe implementations; inspect evidence documentation to confirm compliance with Requirement 8.2.8.</t>
  </si>
  <si>
    <t xml:space="preserve">8.3</t>
  </si>
  <si>
    <t xml:space="preserve">Strong authentication for users and administrators is established and managed.</t>
  </si>
  <si>
    <t xml:space="preserve">Examine policies, procedures, and technical configurations; interview responsible personnel; observe implementations; inspect evidence documentation to confirm compliance with Requirement 8.3.</t>
  </si>
  <si>
    <t xml:space="preserve">8.3.1</t>
  </si>
  <si>
    <t xml:space="preserve">All user access to system components is authenticated via at least one of: something you know (password/passphrase); something you have (token/smart card); something you are (biometric).</t>
  </si>
  <si>
    <t xml:space="preserve">Examine policies, procedures, and technical configurations; interview responsible personnel; observe implementations; inspect evidence documentation to confirm compliance with Requirement 8.3.1.</t>
  </si>
  <si>
    <t xml:space="preserve">8.3.2</t>
  </si>
  <si>
    <t xml:space="preserve">Strong cryptography is used to render all authentication factors unreadable during transmission and storage on all system components.</t>
  </si>
  <si>
    <t xml:space="preserve">Examine policies, procedures, and technical configurations; interview responsible personnel; observe implementations; inspect evidence documentation to confirm compliance with Requirement 8.3.2.</t>
  </si>
  <si>
    <t xml:space="preserve">8.3.3</t>
  </si>
  <si>
    <t xml:space="preserve">User identity is verified before modifying any authentication factor.</t>
  </si>
  <si>
    <t xml:space="preserve">Examine policies, procedures, and technical configurations; interview responsible personnel; observe implementations; inspect evidence documentation to confirm compliance with Requirement 8.3.3.</t>
  </si>
  <si>
    <t xml:space="preserve">8.3.4</t>
  </si>
  <si>
    <t xml:space="preserve">Invalid authentication attempts are limited: account locked after ≤10 attempts; lockout duration ≥30 minutes or until identity is confirmed.</t>
  </si>
  <si>
    <t xml:space="preserve">Examine policies, procedures, and technical configurations; interview responsible personnel; observe implementations; inspect evidence documentation to confirm compliance with Requirement 8.3.4.</t>
  </si>
  <si>
    <t xml:space="preserve">8.3.5</t>
  </si>
  <si>
    <t xml:space="preserve">Passwords/passphrases used as authentication factors are set to a unique value for first-time use and upon reset; forced to be changed immediately after first use.</t>
  </si>
  <si>
    <t xml:space="preserve">Per account setup</t>
  </si>
  <si>
    <t xml:space="preserve">Examine policies, procedures, and technical configurations; interview responsible personnel; observe implementations; inspect evidence documentation to confirm compliance with Requirement 8.3.5.</t>
  </si>
  <si>
    <t xml:space="preserve">8.3.6</t>
  </si>
  <si>
    <t xml:space="preserve">Passwords/passphrases meet minimum complexity: ≥12 characters (or ≥8 if system doesn't support 12); contain both numeric and alphabetic characters. [BP until 31 Mar 2025]</t>
  </si>
  <si>
    <t xml:space="preserve">Examine system configuration settings; verify password complexity requirements (≥12 chars, numeric and alpha).</t>
  </si>
  <si>
    <t xml:space="preserve">8.3.7</t>
  </si>
  <si>
    <t xml:space="preserve">Individuals are not allowed to submit a new password/passphrase that is the same as any of the last four passwords/passphrases used.</t>
  </si>
  <si>
    <t xml:space="preserve">Examine policies, procedures, and technical configurations; interview responsible personnel; observe implementations; inspect evidence documentation to confirm compliance with Requirement 8.3.7.</t>
  </si>
  <si>
    <t xml:space="preserve">8.3.8</t>
  </si>
  <si>
    <t xml:space="preserve">Authentication policies and procedures are documented and communicated: guidance on strong authentication; protection of factors; no reuse instructions; change instructions if compromised.</t>
  </si>
  <si>
    <t xml:space="preserve">Examine policies, procedures, and technical configurations; interview responsible personnel; observe implementations; inspect evidence documentation to confirm compliance with Requirement 8.3.8.</t>
  </si>
  <si>
    <t xml:space="preserve">8.3.9</t>
  </si>
  <si>
    <t xml:space="preserve">If passwords are the only authentication factor: changed at least every 90 days OR security posture dynamically analyzed for real-time access determination.</t>
  </si>
  <si>
    <t xml:space="preserve">Every 90 days</t>
  </si>
  <si>
    <t xml:space="preserve">Examine policies, procedures, and technical configurations; interview responsible personnel; observe implementations; inspect evidence documentation to confirm compliance with Requirement 8.3.9.</t>
  </si>
  <si>
    <t xml:space="preserve">8.3.10</t>
  </si>
  <si>
    <t xml:space="preserve">Additional – service providers only: If passwords are the only auth factor for customer user access, guidance is provided to customer users on periodic password changes.</t>
  </si>
  <si>
    <t xml:space="preserve">Examine policies, procedures, and technical configurations; interview responsible personnel; observe implementations; inspect evidence documentation to confirm compliance with Requirement 8.3.10.</t>
  </si>
  <si>
    <t xml:space="preserve">8.3.10.1</t>
  </si>
  <si>
    <t xml:space="preserve">Additional – service providers only: Customer user passwords changed at least every 90 days OR security posture dynamically analyzed. [BP until 31 Mar 2025]</t>
  </si>
  <si>
    <t xml:space="preserve">Examine policies, procedures, and technical configurations; interview responsible personnel; observe implementations; inspect evidence documentation to confirm compliance with Requirement 8.3.10.1.</t>
  </si>
  <si>
    <t xml:space="preserve">8.3.11</t>
  </si>
  <si>
    <t xml:space="preserve">Where physical/logical security tokens, smart cards, or certificates are used: assigned to individual users; only intended user can use that factor.</t>
  </si>
  <si>
    <t xml:space="preserve">Examine policies, procedures, and technical configurations; interview responsible personnel; observe implementations; inspect evidence documentation to confirm compliance with Requirement 8.3.11.</t>
  </si>
  <si>
    <t xml:space="preserve">8.4</t>
  </si>
  <si>
    <t xml:space="preserve">Multi-factor authentication (MFA) systems are configured to prevent misuse.</t>
  </si>
  <si>
    <t xml:space="preserve">Examine policies, procedures, and technical configurations; interview responsible personnel; observe implementations; inspect evidence documentation to confirm compliance with Requirement 8.4.</t>
  </si>
  <si>
    <t xml:space="preserve">8.4.1</t>
  </si>
  <si>
    <t xml:space="preserve">MFA is implemented for all non-console access into the CDE for personnel with administrative access.</t>
  </si>
  <si>
    <t xml:space="preserve">Examine system configurations; verify MFA is implemented for all non-console admin access into the CDE.</t>
  </si>
  <si>
    <t xml:space="preserve">8.4.2</t>
  </si>
  <si>
    <t xml:space="preserve">MFA is implemented for all non-console access into the CDE. [BP until 31 Mar 2025]</t>
  </si>
  <si>
    <t xml:space="preserve">Examine policies, procedures, and technical configurations; interview responsible personnel; observe implementations; inspect evidence documentation to confirm compliance with Requirement 8.4.2.</t>
  </si>
  <si>
    <t xml:space="preserve">8.4.3</t>
  </si>
  <si>
    <t xml:space="preserve">MFA is implemented for all remote network access originating from outside the entity's network that could access or impact the CDE.</t>
  </si>
  <si>
    <t xml:space="preserve">Examine policies, procedures, and technical configurations; interview responsible personnel; observe implementations; inspect evidence documentation to confirm compliance with Requirement 8.4.3.</t>
  </si>
  <si>
    <t xml:space="preserve">8.5</t>
  </si>
  <si>
    <t xml:space="preserve">Multi-factor authentication is implemented to secure access to the CDE.</t>
  </si>
  <si>
    <t xml:space="preserve">Examine policies, procedures, and technical configurations; interview responsible personnel; observe implementations; inspect evidence documentation to confirm compliance with Requirement 8.5.</t>
  </si>
  <si>
    <t xml:space="preserve">8.5.1</t>
  </si>
  <si>
    <t xml:space="preserve">MFA systems: not susceptible to replay attacks; cannot be bypassed (including by admins); at least two different factor types; success of all factors required before access granted. [BP until 31 Mar 2025]</t>
  </si>
  <si>
    <t xml:space="preserve">Examine policies, procedures, and technical configurations; interview responsible personnel; observe implementations; inspect evidence documentation to confirm compliance with Requirement 8.5.1.</t>
  </si>
  <si>
    <t xml:space="preserve">8.6</t>
  </si>
  <si>
    <t xml:space="preserve">Use of application and system accounts and associated authentication factors are strictly managed.</t>
  </si>
  <si>
    <t xml:space="preserve">Examine policies, procedures, and technical configurations; interview responsible personnel; observe implementations; inspect evidence documentation to confirm compliance with Requirement 8.6.</t>
  </si>
  <si>
    <t xml:space="preserve">8.6.1</t>
  </si>
  <si>
    <t xml:space="preserve">If accounts used by systems/applications can be used for interactive login: interactive use prevented unless exceptional circumstance; time-limited; justified; approved by management; all actions attributable. [BP until 31 Mar 2025]</t>
  </si>
  <si>
    <t xml:space="preserve">Examine policies, procedures, and technical configurations; interview responsible personnel; observe implementations; inspect evidence documentation to confirm compliance with Requirement 8.6.1.</t>
  </si>
  <si>
    <t xml:space="preserve">8.6.2</t>
  </si>
  <si>
    <t xml:space="preserve">Passwords/passphrases for application/system accounts that can be used for interactive login are not hard coded in scripts, configuration files, or source code. [BP until 31 Mar 2025]</t>
  </si>
  <si>
    <t xml:space="preserve">Examine policies, procedures, and technical configurations; interview responsible personnel; observe implementations; inspect evidence documentation to confirm compliance with Requirement 8.6.2.</t>
  </si>
  <si>
    <t xml:space="preserve">8.6.3</t>
  </si>
  <si>
    <t xml:space="preserve">Passwords/passphrases for application/system accounts are changed periodically per TRA and upon suspected compromise; constructed with sufficient complexity. [BP until 31 Mar 2025]</t>
  </si>
  <si>
    <t xml:space="preserve">Examine policies, procedures, and technical configurations; interview responsible personnel; observe implementations; inspect evidence documentation to confirm compliance with Requirement 8.6.3.</t>
  </si>
  <si>
    <t xml:space="preserve">Req 9: Restrict Physical Access</t>
  </si>
  <si>
    <t xml:space="preserve">9.1</t>
  </si>
  <si>
    <t xml:space="preserve">9</t>
  </si>
  <si>
    <t xml:space="preserve">Processes and mechanisms for restricting physical access to cardholder data are defined and understood.</t>
  </si>
  <si>
    <t xml:space="preserve">Examine policies, procedures, and technical configurations; interview responsible personnel; observe implementations; inspect evidence documentation to confirm compliance with Requirement 9.1.</t>
  </si>
  <si>
    <t xml:space="preserve">9.1.1</t>
  </si>
  <si>
    <t xml:space="preserve">All security policies and operational procedures identified in Requirement 9 are: Documented; Kept up to date; In use; Known to all affected parties.</t>
  </si>
  <si>
    <t xml:space="preserve">Examine policies, procedures, and technical configurations; interview responsible personnel; observe implementations; inspect evidence documentation to confirm compliance with Requirement 9.1.1.</t>
  </si>
  <si>
    <t xml:space="preserve">9.1.2</t>
  </si>
  <si>
    <t xml:space="preserve">Roles and responsibilities for performing activities in Requirement 9 are documented, assigned, and understood.</t>
  </si>
  <si>
    <t xml:space="preserve">Examine policies, procedures, and technical configurations; interview responsible personnel; observe implementations; inspect evidence documentation to confirm compliance with Requirement 9.1.2.</t>
  </si>
  <si>
    <t xml:space="preserve">9.2</t>
  </si>
  <si>
    <t xml:space="preserve">Physical access controls manage entry into the cardholder data environment.</t>
  </si>
  <si>
    <t xml:space="preserve">Examine policies, procedures, and technical configurations; interview responsible personnel; observe implementations; inspect evidence documentation to confirm compliance with Requirement 9.2.</t>
  </si>
  <si>
    <t xml:space="preserve">9.2.1</t>
  </si>
  <si>
    <t xml:space="preserve">Appropriate facility entry controls are in place to restrict physical access to systems in the CDE.</t>
  </si>
  <si>
    <t xml:space="preserve">Observe facility entry controls; verify controls restrict access to CDE systems.</t>
  </si>
  <si>
    <t xml:space="preserve">9.2.1.1</t>
  </si>
  <si>
    <t xml:space="preserve">Individual physical access to sensitive areas within the CDE is monitored with video cameras or physical access control mechanisms (or both); entry/exit monitored; data reviewed; stored ≥3 months.</t>
  </si>
  <si>
    <t xml:space="preserve">Examine policies, procedures, and technical configurations; interview responsible personnel; observe implementations; inspect evidence documentation to confirm compliance with Requirement 9.2.1.1.</t>
  </si>
  <si>
    <t xml:space="preserve">9.2.2</t>
  </si>
  <si>
    <t xml:space="preserve">Physical and/or logical controls restrict use of publicly accessible network jacks within the facility.</t>
  </si>
  <si>
    <t xml:space="preserve">Examine policies, procedures, and technical configurations; interview responsible personnel; observe implementations; inspect evidence documentation to confirm compliance with Requirement 9.2.2.</t>
  </si>
  <si>
    <t xml:space="preserve">9.2.3</t>
  </si>
  <si>
    <t xml:space="preserve">Physical access to wireless access points, gateways, networking/communications hardware, and telecommunication lines within the facility is restricted.</t>
  </si>
  <si>
    <t xml:space="preserve">Examine policies, procedures, and technical configurations; interview responsible personnel; observe implementations; inspect evidence documentation to confirm compliance with Requirement 9.2.3.</t>
  </si>
  <si>
    <t xml:space="preserve">9.2.4</t>
  </si>
  <si>
    <t xml:space="preserve">Access to consoles in sensitive areas is restricted via locking when not in use.</t>
  </si>
  <si>
    <t xml:space="preserve">Examine policies, procedures, and technical configurations; interview responsible personnel; observe implementations; inspect evidence documentation to confirm compliance with Requirement 9.2.4.</t>
  </si>
  <si>
    <t xml:space="preserve">9.3</t>
  </si>
  <si>
    <t xml:space="preserve">Physical access to the CDE for personnel and visitors is authorized and managed.</t>
  </si>
  <si>
    <t xml:space="preserve">Examine policies, procedures, and technical configurations; interview responsible personnel; observe implementations; inspect evidence documentation to confirm compliance with Requirement 9.3.</t>
  </si>
  <si>
    <t xml:space="preserve">9.3.1</t>
  </si>
  <si>
    <t xml:space="preserve">Procedures are implemented for authorizing and managing physical access of personnel to the CDE, including identifying personnel, managing changes, revoking/terminating identification.</t>
  </si>
  <si>
    <t xml:space="preserve">Examine policies, procedures, and technical configurations; interview responsible personnel; observe implementations; inspect evidence documentation to confirm compliance with Requirement 9.3.1.</t>
  </si>
  <si>
    <t xml:space="preserve">9.3.1.1</t>
  </si>
  <si>
    <t xml:space="preserve">Physical access to sensitive areas within the CDE for personnel: authorized by job function; revoked immediately upon termination; all physical access mechanisms returned/disabled upon termination.</t>
  </si>
  <si>
    <t xml:space="preserve">Examine policies, procedures, and technical configurations; interview responsible personnel; observe implementations; inspect evidence documentation to confirm compliance with Requirement 9.3.1.1.</t>
  </si>
  <si>
    <t xml:space="preserve">9.3.2</t>
  </si>
  <si>
    <t xml:space="preserve">Procedures for authorizing and managing visitor access to the CDE: authorized before entering; escorted at all times; clearly identified with expiring badge.</t>
  </si>
  <si>
    <t xml:space="preserve">Examine policies, procedures, and technical configurations; interview responsible personnel; observe implementations; inspect evidence documentation to confirm compliance with Requirement 9.3.2.</t>
  </si>
  <si>
    <t xml:space="preserve">9.3.3</t>
  </si>
  <si>
    <t xml:space="preserve">Visitor badges or identification are surrendered or deactivated before visitors leave the facility or at the date of expiration.</t>
  </si>
  <si>
    <t xml:space="preserve">Per visit</t>
  </si>
  <si>
    <t xml:space="preserve">Examine policies, procedures, and technical configurations; interview responsible personnel; observe implementations; inspect evidence documentation to confirm compliance with Requirement 9.3.3.</t>
  </si>
  <si>
    <t xml:space="preserve">9.3.4</t>
  </si>
  <si>
    <t xml:space="preserve">A visitor log is used to maintain a physical record of visitor activity including visitor name/organization, date/time, authorizing personnel; retained ≥3 months.</t>
  </si>
  <si>
    <t xml:space="preserve">Examine policies, procedures, and technical configurations; interview responsible personnel; observe implementations; inspect evidence documentation to confirm compliance with Requirement 9.3.4.</t>
  </si>
  <si>
    <t xml:space="preserve">9.4</t>
  </si>
  <si>
    <t xml:space="preserve">Media with cardholder data is securely stored, accessed, distributed, and destroyed.</t>
  </si>
  <si>
    <t xml:space="preserve">Examine policies, procedures, and technical configurations; interview responsible personnel; observe implementations; inspect evidence documentation to confirm compliance with Requirement 9.4.</t>
  </si>
  <si>
    <t xml:space="preserve">9.4.1</t>
  </si>
  <si>
    <t xml:space="preserve">All media with cardholder data is physically secured.</t>
  </si>
  <si>
    <t xml:space="preserve">Examine policies, procedures, and technical configurations; interview responsible personnel; observe implementations; inspect evidence documentation to confirm compliance with Requirement 9.4.1.</t>
  </si>
  <si>
    <t xml:space="preserve">9.4.1.1</t>
  </si>
  <si>
    <t xml:space="preserve">Offline media backups with cardholder data are stored in a secure location.</t>
  </si>
  <si>
    <t xml:space="preserve">Examine policies, procedures, and technical configurations; interview responsible personnel; observe implementations; inspect evidence documentation to confirm compliance with Requirement 9.4.1.1.</t>
  </si>
  <si>
    <t xml:space="preserve">9.4.1.2</t>
  </si>
  <si>
    <t xml:space="preserve">The security of the offline media backup location(s) with cardholder data is reviewed at least once every 12 months.</t>
  </si>
  <si>
    <t xml:space="preserve">Examine policies, procedures, and technical configurations; interview responsible personnel; observe implementations; inspect evidence documentation to confirm compliance with Requirement 9.4.1.2.</t>
  </si>
  <si>
    <t xml:space="preserve">9.4.2</t>
  </si>
  <si>
    <t xml:space="preserve">All media with cardholder data is classified in accordance with the sensitivity of the data.</t>
  </si>
  <si>
    <t xml:space="preserve">Examine policies, procedures, and technical configurations; interview responsible personnel; observe implementations; inspect evidence documentation to confirm compliance with Requirement 9.4.2.</t>
  </si>
  <si>
    <t xml:space="preserve">9.4.3</t>
  </si>
  <si>
    <t xml:space="preserve">Media with cardholder data sent outside the facility: logged; sent by secured courier with accurate tracking; offsite tracking logs include media location details.</t>
  </si>
  <si>
    <t xml:space="preserve">Per shipment</t>
  </si>
  <si>
    <t xml:space="preserve">Examine policies, procedures, and technical configurations; interview responsible personnel; observe implementations; inspect evidence documentation to confirm compliance with Requirement 9.4.3.</t>
  </si>
  <si>
    <t xml:space="preserve">9.4.4</t>
  </si>
  <si>
    <t xml:space="preserve">Management approves all media with cardholder data moved outside the facility (including distribution to individuals).</t>
  </si>
  <si>
    <t xml:space="preserve">Per movement</t>
  </si>
  <si>
    <t xml:space="preserve">Examine policies, procedures, and technical configurations; interview responsible personnel; observe implementations; inspect evidence documentation to confirm compliance with Requirement 9.4.4.</t>
  </si>
  <si>
    <t xml:space="preserve">9.4.5</t>
  </si>
  <si>
    <t xml:space="preserve">Inventory logs of all electronic media with cardholder data are maintained.</t>
  </si>
  <si>
    <t xml:space="preserve">Examine policies, procedures, and technical configurations; interview responsible personnel; observe implementations; inspect evidence documentation to confirm compliance with Requirement 9.4.5.</t>
  </si>
  <si>
    <t xml:space="preserve">9.4.5.1</t>
  </si>
  <si>
    <t xml:space="preserve">Inventories of electronic media with cardholder data are conducted at least once every 12 months.</t>
  </si>
  <si>
    <t xml:space="preserve">Examine policies, procedures, and technical configurations; interview responsible personnel; observe implementations; inspect evidence documentation to confirm compliance with Requirement 9.4.5.1.</t>
  </si>
  <si>
    <t xml:space="preserve">9.4.6</t>
  </si>
  <si>
    <t xml:space="preserve">Hard-copy materials with cardholder data are destroyed when no longer needed: cross-cut shredded, incinerated, or pulped; stored in secure containers prior to destruction.</t>
  </si>
  <si>
    <t xml:space="preserve">Per retention period</t>
  </si>
  <si>
    <t xml:space="preserve">Examine policies, procedures, and technical configurations; interview responsible personnel; observe implementations; inspect evidence documentation to confirm compliance with Requirement 9.4.6.</t>
  </si>
  <si>
    <t xml:space="preserve">9.4.7</t>
  </si>
  <si>
    <t xml:space="preserve">Electronic media with cardholder data is destroyed when no longer needed: physically destroyed or cardholder data rendered unrecoverable.</t>
  </si>
  <si>
    <t xml:space="preserve">Examine policies, procedures, and technical configurations; interview responsible personnel; observe implementations; inspect evidence documentation to confirm compliance with Requirement 9.4.7.</t>
  </si>
  <si>
    <t xml:space="preserve">9.5</t>
  </si>
  <si>
    <t xml:space="preserve">Point-of-interaction (POI) devices are protected from tampering and unauthorized substitution.</t>
  </si>
  <si>
    <t xml:space="preserve">Examine policies, procedures, and technical configurations; interview responsible personnel; observe implementations; inspect evidence documentation to confirm compliance with Requirement 9.5.</t>
  </si>
  <si>
    <t xml:space="preserve">9.5.1</t>
  </si>
  <si>
    <t xml:space="preserve">POI devices that capture payment card data via direct physical interaction are protected: maintain a list; periodically inspect for tampering; train personnel to report suspicious behavior.</t>
  </si>
  <si>
    <t xml:space="preserve">Examine policies, procedures, and technical configurations; interview responsible personnel; observe implementations; inspect evidence documentation to confirm compliance with Requirement 9.5.1.</t>
  </si>
  <si>
    <t xml:space="preserve">9.5.1.1</t>
  </si>
  <si>
    <t xml:space="preserve">An up-to-date list of POI devices is maintained including: make and model; location; serial number or other unique identification.</t>
  </si>
  <si>
    <t xml:space="preserve">Examine policies, procedures, and technical configurations; interview responsible personnel; observe implementations; inspect evidence documentation to confirm compliance with Requirement 9.5.1.1.</t>
  </si>
  <si>
    <t xml:space="preserve">9.5.1.2</t>
  </si>
  <si>
    <t xml:space="preserve">POI device surfaces are periodically inspected to detect tampering and unauthorized substitution.</t>
  </si>
  <si>
    <t xml:space="preserve">Examine policies, procedures, and technical configurations; interview responsible personnel; observe implementations; inspect evidence documentation to confirm compliance with Requirement 9.5.1.2.</t>
  </si>
  <si>
    <t xml:space="preserve">9.5.1.2.1</t>
  </si>
  <si>
    <t xml:space="preserve">The frequency of periodic POI device inspections is defined in the entity's targeted risk analysis. [BP until 31 Mar 2025]</t>
  </si>
  <si>
    <t xml:space="preserve">Examine policies, procedures, and technical configurations; interview responsible personnel; observe implementations; inspect evidence documentation to confirm compliance with Requirement 9.5.1.2.1.</t>
  </si>
  <si>
    <t xml:space="preserve">9.5.1.3</t>
  </si>
  <si>
    <t xml:space="preserve">Training is provided for personnel in POI environments: verify identity of third-party personnel; procedures for devices installed/replaced/returned; awareness of suspicious behavior; reporting procedures.</t>
  </si>
  <si>
    <t xml:space="preserve">Examine policies, procedures, and technical configurations; interview responsible personnel; observe implementations; inspect evidence documentation to confirm compliance with Requirement 9.5.1.3.</t>
  </si>
  <si>
    <t xml:space="preserve">Req 10: Log &amp; Monitor All Access</t>
  </si>
  <si>
    <t xml:space="preserve">10.1</t>
  </si>
  <si>
    <t xml:space="preserve">10</t>
  </si>
  <si>
    <t xml:space="preserve">Processes and mechanisms for logging and monitoring all access are defined and documented.</t>
  </si>
  <si>
    <t xml:space="preserve">Examine policies, procedures, and technical configurations; interview responsible personnel; observe implementations; inspect evidence documentation to confirm compliance with Requirement 10.1.</t>
  </si>
  <si>
    <t xml:space="preserve">10.1.1</t>
  </si>
  <si>
    <t xml:space="preserve">All security policies and operational procedures identified in Requirement 10 are: Documented; Kept up to date; In use; Known to all affected parties.</t>
  </si>
  <si>
    <t xml:space="preserve">Examine policies, procedures, and technical configurations; interview responsible personnel; observe implementations; inspect evidence documentation to confirm compliance with Requirement 10.1.1.</t>
  </si>
  <si>
    <t xml:space="preserve">10.1.2</t>
  </si>
  <si>
    <t xml:space="preserve">Roles and responsibilities for performing activities in Requirement 10 are documented, assigned, and understood.</t>
  </si>
  <si>
    <t xml:space="preserve">Examine policies, procedures, and technical configurations; interview responsible personnel; observe implementations; inspect evidence documentation to confirm compliance with Requirement 10.1.2.</t>
  </si>
  <si>
    <t xml:space="preserve">10.2</t>
  </si>
  <si>
    <t xml:space="preserve">Audit logs are implemented to support detection of anomalies and forensic analysis.</t>
  </si>
  <si>
    <t xml:space="preserve">Examine policies, procedures, and technical configurations; interview responsible personnel; observe implementations; inspect evidence documentation to confirm compliance with Requirement 10.2.</t>
  </si>
  <si>
    <t xml:space="preserve">10.2.1</t>
  </si>
  <si>
    <t xml:space="preserve">Audit logs are enabled and active for all system components and cardholder data.</t>
  </si>
  <si>
    <t xml:space="preserve">Examine audit log configurations; verify logs are enabled and active for all system components.</t>
  </si>
  <si>
    <t xml:space="preserve">10.2.1.1</t>
  </si>
  <si>
    <t xml:space="preserve">Audit logs capture all individual user access to cardholder data.</t>
  </si>
  <si>
    <t xml:space="preserve">Examine policies, procedures, and technical configurations; interview responsible personnel; observe implementations; inspect evidence documentation to confirm compliance with Requirement 10.2.1.1.</t>
  </si>
  <si>
    <t xml:space="preserve">10.2.1.2</t>
  </si>
  <si>
    <t xml:space="preserve">Audit logs capture all actions taken by any individual with administrative access, including any interactive use of application or system accounts.</t>
  </si>
  <si>
    <t xml:space="preserve">Examine policies, procedures, and technical configurations; interview responsible personnel; observe implementations; inspect evidence documentation to confirm compliance with Requirement 10.2.1.2.</t>
  </si>
  <si>
    <t xml:space="preserve">10.2.1.3</t>
  </si>
  <si>
    <t xml:space="preserve">Audit logs capture all access to audit logs.</t>
  </si>
  <si>
    <t xml:space="preserve">Examine policies, procedures, and technical configurations; interview responsible personnel; observe implementations; inspect evidence documentation to confirm compliance with Requirement 10.2.1.3.</t>
  </si>
  <si>
    <t xml:space="preserve">10.2.1.4</t>
  </si>
  <si>
    <t xml:space="preserve">Audit logs capture all invalid logical access attempts.</t>
  </si>
  <si>
    <t xml:space="preserve">Examine policies, procedures, and technical configurations; interview responsible personnel; observe implementations; inspect evidence documentation to confirm compliance with Requirement 10.2.1.4.</t>
  </si>
  <si>
    <t xml:space="preserve">10.2.1.5</t>
  </si>
  <si>
    <t xml:space="preserve">Audit logs capture all changes to identification and authentication credentials: new accounts; elevation of privileges; all changes, additions, or deletions to accounts with admin access.</t>
  </si>
  <si>
    <t xml:space="preserve">Examine policies, procedures, and technical configurations; interview responsible personnel; observe implementations; inspect evidence documentation to confirm compliance with Requirement 10.2.1.5.</t>
  </si>
  <si>
    <t xml:space="preserve">10.2.1.6</t>
  </si>
  <si>
    <t xml:space="preserve">Audit logs capture: all initialization of new audit logs; and all starting, stopping, or pausing of existing audit logs.</t>
  </si>
  <si>
    <t xml:space="preserve">Examine policies, procedures, and technical configurations; interview responsible personnel; observe implementations; inspect evidence documentation to confirm compliance with Requirement 10.2.1.6.</t>
  </si>
  <si>
    <t xml:space="preserve">10.2.1.7</t>
  </si>
  <si>
    <t xml:space="preserve">Audit logs capture all creation and deletion of system-level objects.</t>
  </si>
  <si>
    <t xml:space="preserve">Examine policies, procedures, and technical configurations; interview responsible personnel; observe implementations; inspect evidence documentation to confirm compliance with Requirement 10.2.1.7.</t>
  </si>
  <si>
    <t xml:space="preserve">10.2.2</t>
  </si>
  <si>
    <t xml:space="preserve">Audit logs record: user identification; event type; date and time; success/failure indication; origination of event; identity/name of affected data, system component, resource, or service.</t>
  </si>
  <si>
    <t xml:space="preserve">Examine policies, procedures, and technical configurations; interview responsible personnel; observe implementations; inspect evidence documentation to confirm compliance with Requirement 10.2.2.</t>
  </si>
  <si>
    <t xml:space="preserve">10.3</t>
  </si>
  <si>
    <t xml:space="preserve">Audit logs are protected from destruction and unauthorized modifications.</t>
  </si>
  <si>
    <t xml:space="preserve">Examine policies, procedures, and technical configurations; interview responsible personnel; observe implementations; inspect evidence documentation to confirm compliance with Requirement 10.3.</t>
  </si>
  <si>
    <t xml:space="preserve">10.3.1</t>
  </si>
  <si>
    <t xml:space="preserve">Read access to audit log files is limited to those with a job-related need.</t>
  </si>
  <si>
    <t xml:space="preserve">Examine policies, procedures, and technical configurations; interview responsible personnel; observe implementations; inspect evidence documentation to confirm compliance with Requirement 10.3.1.</t>
  </si>
  <si>
    <t xml:space="preserve">10.3.2</t>
  </si>
  <si>
    <t xml:space="preserve">Audit log files are protected to prevent modifications by individuals.</t>
  </si>
  <si>
    <t xml:space="preserve">Examine policies, procedures, and technical configurations; interview responsible personnel; observe implementations; inspect evidence documentation to confirm compliance with Requirement 10.3.2.</t>
  </si>
  <si>
    <t xml:space="preserve">10.3.3</t>
  </si>
  <si>
    <t xml:space="preserve">Audit log files, including those for external-facing technologies, are promptly backed up to a secure, central, internal log server or other media difficult to modify.</t>
  </si>
  <si>
    <t xml:space="preserve">Examine policies, procedures, and technical configurations; interview responsible personnel; observe implementations; inspect evidence documentation to confirm compliance with Requirement 10.3.3.</t>
  </si>
  <si>
    <t xml:space="preserve">10.3.4</t>
  </si>
  <si>
    <t xml:space="preserve">File integrity monitoring or change-detection mechanisms are used on audit logs to ensure existing log data cannot be changed without generating alerts.</t>
  </si>
  <si>
    <t xml:space="preserve">Examine policies, procedures, and technical configurations; interview responsible personnel; observe implementations; inspect evidence documentation to confirm compliance with Requirement 10.3.4.</t>
  </si>
  <si>
    <t xml:space="preserve">10.4</t>
  </si>
  <si>
    <t xml:space="preserve">Audit logs are reviewed to identify anomalies or suspicious activity.</t>
  </si>
  <si>
    <t xml:space="preserve">Daily</t>
  </si>
  <si>
    <t xml:space="preserve">Examine policies, procedures, and technical configurations; interview responsible personnel; observe implementations; inspect evidence documentation to confirm compliance with Requirement 10.4.</t>
  </si>
  <si>
    <t xml:space="preserve">10.4.1</t>
  </si>
  <si>
    <t xml:space="preserve">The following audit logs are reviewed at least once daily: all security events; logs of all system components storing/processing/transmitting CHD/SAD; critical system component logs; security function server logs.</t>
  </si>
  <si>
    <t xml:space="preserve">Examine audit log review procedures and evidence; verify daily review of security event logs.</t>
  </si>
  <si>
    <t xml:space="preserve">10.4.1.1</t>
  </si>
  <si>
    <t xml:space="preserve">Automated mechanisms are used to perform audit log reviews. [BP until 31 Mar 2025]</t>
  </si>
  <si>
    <t xml:space="preserve">Examine policies, procedures, and technical configurations; interview responsible personnel; observe implementations; inspect evidence documentation to confirm compliance with Requirement 10.4.1.1.</t>
  </si>
  <si>
    <t xml:space="preserve">10.4.2</t>
  </si>
  <si>
    <t xml:space="preserve">Logs of all other system components (not in Req 10.4.1) are reviewed periodically.</t>
  </si>
  <si>
    <t xml:space="preserve">Examine policies, procedures, and technical configurations; interview responsible personnel; observe implementations; inspect evidence documentation to confirm compliance with Requirement 10.4.2.</t>
  </si>
  <si>
    <t xml:space="preserve">10.4.2.1</t>
  </si>
  <si>
    <t xml:space="preserve">The frequency of periodic log reviews for other system components is defined in the entity's targeted risk analysis. [BP until 31 Mar 2025]</t>
  </si>
  <si>
    <t xml:space="preserve">Examine policies, procedures, and technical configurations; interview responsible personnel; observe implementations; inspect evidence documentation to confirm compliance with Requirement 10.4.2.1.</t>
  </si>
  <si>
    <t xml:space="preserve">10.4.3</t>
  </si>
  <si>
    <t xml:space="preserve">Exceptions and anomalies identified during the review process are addressed.</t>
  </si>
  <si>
    <t xml:space="preserve">Per finding</t>
  </si>
  <si>
    <t xml:space="preserve">Examine policies, procedures, and technical configurations; interview responsible personnel; observe implementations; inspect evidence documentation to confirm compliance with Requirement 10.4.3.</t>
  </si>
  <si>
    <t xml:space="preserve">10.5</t>
  </si>
  <si>
    <t xml:space="preserve">Audit log history is retained and available for analysis.</t>
  </si>
  <si>
    <t xml:space="preserve">Examine policies, procedures, and technical configurations; interview responsible personnel; observe implementations; inspect evidence documentation to confirm compliance with Requirement 10.5.</t>
  </si>
  <si>
    <t xml:space="preserve">10.5.1</t>
  </si>
  <si>
    <t xml:space="preserve">Retain audit log history for at least 12 months, with at least the most recent three months immediately available for analysis.</t>
  </si>
  <si>
    <t xml:space="preserve">Examine audit log retention policy and logs; verify 12 months retained with 3 months immediately available.</t>
  </si>
  <si>
    <t xml:space="preserve">10.6</t>
  </si>
  <si>
    <t xml:space="preserve">Time-synchronization mechanisms support consistent time settings across all systems.</t>
  </si>
  <si>
    <t xml:space="preserve">Examine policies, procedures, and technical configurations; interview responsible personnel; observe implementations; inspect evidence documentation to confirm compliance with Requirement 10.6.</t>
  </si>
  <si>
    <t xml:space="preserve">10.6.1</t>
  </si>
  <si>
    <t xml:space="preserve">System clocks and time are synchronized using time-synchronization technology.</t>
  </si>
  <si>
    <t xml:space="preserve">Examine policies, procedures, and technical configurations; interview responsible personnel; observe implementations; inspect evidence documentation to confirm compliance with Requirement 10.6.1.</t>
  </si>
  <si>
    <t xml:space="preserve">10.6.2</t>
  </si>
  <si>
    <t xml:space="preserve">Systems are configured to correct and consistent time: designated time server(s); only designated server receives from external; based on UTC/International Atomic Time; internal systems receive from designated server.</t>
  </si>
  <si>
    <t xml:space="preserve">Examine policies, procedures, and technical configurations; interview responsible personnel; observe implementations; inspect evidence documentation to confirm compliance with Requirement 10.6.2.</t>
  </si>
  <si>
    <t xml:space="preserve">10.6.3</t>
  </si>
  <si>
    <t xml:space="preserve">Time synchronization settings and data are protected: access to time data restricted to business need; changes to time settings on critical systems are logged, monitored, and reviewed.</t>
  </si>
  <si>
    <t xml:space="preserve">Examine policies, procedures, and technical configurations; interview responsible personnel; observe implementations; inspect evidence documentation to confirm compliance with Requirement 10.6.3.</t>
  </si>
  <si>
    <t xml:space="preserve">10.7</t>
  </si>
  <si>
    <t xml:space="preserve">Failures of critical security control systems are detected, reported, and responded to promptly.</t>
  </si>
  <si>
    <t xml:space="preserve">Examine policies, procedures, and technical configurations; interview responsible personnel; observe implementations; inspect evidence documentation to confirm compliance with Requirement 10.7.</t>
  </si>
  <si>
    <t xml:space="preserve">10.7.1</t>
  </si>
  <si>
    <t xml:space="preserve">Additional – service providers only: Failures of critical security controls (NSC, IDS/IPS, FIM, anti-malware, physical/logical access controls, audit logging, segmentation) are detected, alerted, and addressed promptly.</t>
  </si>
  <si>
    <t xml:space="preserve">Examine policies, procedures, and technical configurations; interview responsible personnel; observe implementations; inspect evidence documentation to confirm compliance with Requirement 10.7.1.</t>
  </si>
  <si>
    <t xml:space="preserve">10.7.2</t>
  </si>
  <si>
    <t xml:space="preserve">Failures of critical security control systems are detected, alerted, and addressed promptly for all entities (extends 10.7.1 with audit log review mechanisms and automated security testing tools). [BP until 31 Mar 2025]</t>
  </si>
  <si>
    <t xml:space="preserve">Examine policies, procedures, and technical configurations; interview responsible personnel; observe implementations; inspect evidence documentation to confirm compliance with Requirement 10.7.2.</t>
  </si>
  <si>
    <t xml:space="preserve">10.7.3</t>
  </si>
  <si>
    <t xml:space="preserve">Failures of critical security controls are responded to promptly: restore functions; document duration/cause/remediation; identify/address security issues arising during failure; prevent recurrence; resume monitoring.</t>
  </si>
  <si>
    <t xml:space="preserve">Per incident</t>
  </si>
  <si>
    <t xml:space="preserve">Examine policies, procedures, and technical configurations; interview responsible personnel; observe implementations; inspect evidence documentation to confirm compliance with Requirement 10.7.3.</t>
  </si>
  <si>
    <t xml:space="preserve">Req 11: Test Security Regularly</t>
  </si>
  <si>
    <t xml:space="preserve">11.1</t>
  </si>
  <si>
    <t xml:space="preserve">11</t>
  </si>
  <si>
    <t xml:space="preserve">Processes and mechanisms for testing security of systems and networks are defined and understood.</t>
  </si>
  <si>
    <t xml:space="preserve">Examine policies, procedures, and technical configurations; interview responsible personnel; observe implementations; inspect evidence documentation to confirm compliance with Requirement 11.1.</t>
  </si>
  <si>
    <t xml:space="preserve">11.1.1</t>
  </si>
  <si>
    <t xml:space="preserve">All security policies and operational procedures identified in Requirement 11 are: Documented; Kept up to date; In use; Known to all affected parties.</t>
  </si>
  <si>
    <t xml:space="preserve">Examine policies, procedures, and technical configurations; interview responsible personnel; observe implementations; inspect evidence documentation to confirm compliance with Requirement 11.1.1.</t>
  </si>
  <si>
    <t xml:space="preserve">11.1.2</t>
  </si>
  <si>
    <t xml:space="preserve">Roles and responsibilities for performing activities in Requirement 11 are documented, assigned, and understood.</t>
  </si>
  <si>
    <t xml:space="preserve">Examine policies, procedures, and technical configurations; interview responsible personnel; observe implementations; inspect evidence documentation to confirm compliance with Requirement 11.1.2.</t>
  </si>
  <si>
    <t xml:space="preserve">11.2</t>
  </si>
  <si>
    <t xml:space="preserve">Wireless access points are identified and monitored, and unauthorized wireless access points are addressed.</t>
  </si>
  <si>
    <t xml:space="preserve">Examine policies, procedures, and technical configurations; interview responsible personnel; observe implementations; inspect evidence documentation to confirm compliance with Requirement 11.2.</t>
  </si>
  <si>
    <t xml:space="preserve">11.2.1</t>
  </si>
  <si>
    <t xml:space="preserve">Authorized and unauthorized wireless access points are managed: tested for presence; all detected; testing occurs at least every 3 months; automated monitoring alerts personnel.</t>
  </si>
  <si>
    <t xml:space="preserve">Examine policies, procedures, and technical configurations; interview responsible personnel; observe implementations; inspect evidence documentation to confirm compliance with Requirement 11.2.1.</t>
  </si>
  <si>
    <t xml:space="preserve">11.2.2</t>
  </si>
  <si>
    <t xml:space="preserve">An inventory of authorized wireless access points is maintained, including a documented business justification.</t>
  </si>
  <si>
    <t xml:space="preserve">Examine policies, procedures, and technical configurations; interview responsible personnel; observe implementations; inspect evidence documentation to confirm compliance with Requirement 11.2.2.</t>
  </si>
  <si>
    <t xml:space="preserve">11.3</t>
  </si>
  <si>
    <t xml:space="preserve">External and internal vulnerabilities are regularly identified, prioritized, and addressed.</t>
  </si>
  <si>
    <t xml:space="preserve">Examine policies, procedures, and technical configurations; interview responsible personnel; observe implementations; inspect evidence documentation to confirm compliance with Requirement 11.3.</t>
  </si>
  <si>
    <t xml:space="preserve">11.3.1</t>
  </si>
  <si>
    <t xml:space="preserve">Internal vulnerability scans: at least every 3 months; high-risk/critical vulnerabilities resolved; rescans confirm resolution; scan tool current; qualified personnel with organizational independence.</t>
  </si>
  <si>
    <t xml:space="preserve">Examine vulnerability scan reports; verify scans performed quarterly; high/critical vulnerabilities resolved.</t>
  </si>
  <si>
    <t xml:space="preserve">11.3.1.1</t>
  </si>
  <si>
    <t xml:space="preserve">All other applicable vulnerabilities (non-high/critical) are addressed based on risk defined in entity's targeted risk analysis; rescans conducted as needed. [BP until 31 Mar 2025]</t>
  </si>
  <si>
    <t xml:space="preserve">Examine policies, procedures, and technical configurations; interview responsible personnel; observe implementations; inspect evidence documentation to confirm compliance with Requirement 11.3.1.1.</t>
  </si>
  <si>
    <t xml:space="preserve">11.3.1.2</t>
  </si>
  <si>
    <t xml:space="preserve">Internal vulnerability scans are performed via authenticated scanning with sufficient privileges; systems unable to accept credentials documented. [BP until 31 Mar 2025]</t>
  </si>
  <si>
    <t xml:space="preserve">Examine policies, procedures, and technical configurations; interview responsible personnel; observe implementations; inspect evidence documentation to confirm compliance with Requirement 11.3.1.2.</t>
  </si>
  <si>
    <t xml:space="preserve">11.3.1.3</t>
  </si>
  <si>
    <t xml:space="preserve">Internal vulnerability scans performed after any significant change: high-risk/critical resolved; rescans conducted as needed; qualified personnel.</t>
  </si>
  <si>
    <t xml:space="preserve">Examine policies, procedures, and technical configurations; interview responsible personnel; observe implementations; inspect evidence documentation to confirm compliance with Requirement 11.3.1.3.</t>
  </si>
  <si>
    <t xml:space="preserve">11.3.2</t>
  </si>
  <si>
    <t xml:space="preserve">External vulnerability scans: at least every 3 months; by PCI SSC Approved Scanning Vendor (ASV); vulnerabilities resolved and ASV requirements met; rescans performed as needed.</t>
  </si>
  <si>
    <t xml:space="preserve">Examine ASV scan reports; verify quarterly external scans; passing scan results confirmed.</t>
  </si>
  <si>
    <t xml:space="preserve">11.3.2.1</t>
  </si>
  <si>
    <t xml:space="preserve">External vulnerability scans performed after any significant change: CVSS ≥4.0 vulnerabilities resolved; rescans conducted as needed; qualified personnel.</t>
  </si>
  <si>
    <t xml:space="preserve">Examine policies, procedures, and technical configurations; interview responsible personnel; observe implementations; inspect evidence documentation to confirm compliance with Requirement 11.3.2.1.</t>
  </si>
  <si>
    <t xml:space="preserve">11.4</t>
  </si>
  <si>
    <t xml:space="preserve">External and internal penetration testing is regularly performed and exploitable vulnerabilities are corrected.</t>
  </si>
  <si>
    <t xml:space="preserve">Examine policies, procedures, and technical configurations; interview responsible personnel; observe implementations; inspect evidence documentation to confirm compliance with Requirement 11.4.</t>
  </si>
  <si>
    <t xml:space="preserve">11.4.1</t>
  </si>
  <si>
    <t xml:space="preserve">A penetration testing methodology is defined, documented, and implemented including: industry-accepted approaches; coverage of entire CDE perimeter and critical systems; internal and external testing; segmentation validation.</t>
  </si>
  <si>
    <t xml:space="preserve">Examine policies, procedures, and technical configurations; interview responsible personnel; observe implementations; inspect evidence documentation to confirm compliance with Requirement 11.4.1.</t>
  </si>
  <si>
    <t xml:space="preserve">11.4.2</t>
  </si>
  <si>
    <t xml:space="preserve">Internal penetration testing: per defined methodology; at least every 12 months; after significant infrastructure/application upgrades; by qualified internal/external resource; organizational independence.</t>
  </si>
  <si>
    <t xml:space="preserve">Examine penetration test methodology and reports; verify annual internal penetration testing.</t>
  </si>
  <si>
    <t xml:space="preserve">11.4.3</t>
  </si>
  <si>
    <t xml:space="preserve">External penetration testing: per defined methodology; at least every 12 months; after significant infrastructure/application upgrades; by qualified internal/external resource; organizational independence.</t>
  </si>
  <si>
    <t xml:space="preserve">Examine penetration test methodology and reports; verify annual external penetration testing.</t>
  </si>
  <si>
    <t xml:space="preserve">11.4.4</t>
  </si>
  <si>
    <t xml:space="preserve">Exploitable vulnerabilities and security weaknesses found during penetration testing are corrected per entity's risk assessment; penetration testing repeated to verify corrections.</t>
  </si>
  <si>
    <t xml:space="preserve">Examine policies, procedures, and technical configurations; interview responsible personnel; observe implementations; inspect evidence documentation to confirm compliance with Requirement 11.4.4.</t>
  </si>
  <si>
    <t xml:space="preserve">11.4.5</t>
  </si>
  <si>
    <t xml:space="preserve">If segmentation is used to isolate CDE, penetration tests on segmentation controls: at least every 12 months and after any changes; covering all segmentation methods; confirming effectiveness and isolation.</t>
  </si>
  <si>
    <t xml:space="preserve">Examine policies, procedures, and technical configurations; interview responsible personnel; observe implementations; inspect evidence documentation to confirm compliance with Requirement 11.4.5.</t>
  </si>
  <si>
    <t xml:space="preserve">11.4.6</t>
  </si>
  <si>
    <t xml:space="preserve">Additional – service providers only: Penetration tests on segmentation controls at least every 6 months and after any changes.</t>
  </si>
  <si>
    <t xml:space="preserve">Examine policies, procedures, and technical configurations; interview responsible personnel; observe implementations; inspect evidence documentation to confirm compliance with Requirement 11.4.6.</t>
  </si>
  <si>
    <t xml:space="preserve">11.4.7</t>
  </si>
  <si>
    <t xml:space="preserve">Additional – multi-tenant cloud service providers only: Support customers for external penetration testing per Req 11.4.3/11.4.4 by providing evidence or access. [BP until 31 Mar 2025]</t>
  </si>
  <si>
    <t xml:space="preserve">Cloud/Multi-Tenant SP Only</t>
  </si>
  <si>
    <t xml:space="preserve">Examine policies, procedures, and technical configurations; interview responsible personnel; observe implementations; inspect evidence documentation to confirm compliance with Requirement 11.4.7.</t>
  </si>
  <si>
    <t xml:space="preserve">11.5</t>
  </si>
  <si>
    <t xml:space="preserve">Network intrusions and unexpected file changes are detected and responded to.</t>
  </si>
  <si>
    <t xml:space="preserve">Examine policies, procedures, and technical configurations; interview responsible personnel; observe implementations; inspect evidence documentation to confirm compliance with Requirement 11.5.</t>
  </si>
  <si>
    <t xml:space="preserve">11.5.1</t>
  </si>
  <si>
    <t xml:space="preserve">Intrusion-detection/prevention techniques: monitor all traffic at CDE perimeter and critical points; alert personnel to suspected compromises; all engines/baselines/signatures kept up to date.</t>
  </si>
  <si>
    <t xml:space="preserve">Examine policies, procedures, and technical configurations; interview responsible personnel; observe implementations; inspect evidence documentation to confirm compliance with Requirement 11.5.1.</t>
  </si>
  <si>
    <t xml:space="preserve">11.5.1.1</t>
  </si>
  <si>
    <t xml:space="preserve">Additional – service providers only: IDS/IPS detects, alerts on/prevents, and addresses covert malware communication channels. [BP until 31 Mar 2025]</t>
  </si>
  <si>
    <t xml:space="preserve">Examine policies, procedures, and technical configurations; interview responsible personnel; observe implementations; inspect evidence documentation to confirm compliance with Requirement 11.5.1.1.</t>
  </si>
  <si>
    <t xml:space="preserve">11.5.2</t>
  </si>
  <si>
    <t xml:space="preserve">A change-detection mechanism (e.g. FIM tools): alerts personnel to unauthorized modification of critical files; performs critical file comparisons at least once weekly.</t>
  </si>
  <si>
    <t xml:space="preserve">Weekly</t>
  </si>
  <si>
    <t xml:space="preserve">Examine policies, procedures, and technical configurations; interview responsible personnel; observe implementations; inspect evidence documentation to confirm compliance with Requirement 11.5.2.</t>
  </si>
  <si>
    <t xml:space="preserve">11.6</t>
  </si>
  <si>
    <t xml:space="preserve">Unauthorized changes on payment pages are detected and responded to.</t>
  </si>
  <si>
    <t xml:space="preserve">Weekly or per TRA</t>
  </si>
  <si>
    <t xml:space="preserve">Examine policies, procedures, and technical configurations; interview responsible personnel; observe implementations; inspect evidence documentation to confirm compliance with Requirement 11.6.</t>
  </si>
  <si>
    <t xml:space="preserve">11.6.1</t>
  </si>
  <si>
    <t xml:space="preserve">A change- and tamper-detection mechanism: alerts personnel to unauthorized modification of HTTP headers and payment page contents; evaluates received HTTP headers and payment pages; functions at least every 7 days or per TRA. [BP until 31 Mar 2025]</t>
  </si>
  <si>
    <t xml:space="preserve">Examine policies, procedures, and technical configurations; interview responsible personnel; observe implementations; inspect evidence documentation to confirm compliance with Requirement 11.6.1.</t>
  </si>
  <si>
    <t xml:space="preserve">Req 12: Organisational Policies &amp; Programs</t>
  </si>
  <si>
    <t xml:space="preserve">12.1</t>
  </si>
  <si>
    <t xml:space="preserve">12</t>
  </si>
  <si>
    <t xml:space="preserve">A comprehensive information security policy is established, published, maintained, and current.</t>
  </si>
  <si>
    <t xml:space="preserve">Examine policies, procedures, and technical configurations; interview responsible personnel; observe implementations; inspect evidence documentation to confirm compliance with Requirement 12.1.</t>
  </si>
  <si>
    <t xml:space="preserve">12.1.1</t>
  </si>
  <si>
    <t xml:space="preserve">An overall information security policy is: Established; Published; Maintained; Disseminated to all relevant personnel, vendors, and business partners.</t>
  </si>
  <si>
    <t xml:space="preserve">Examine information security policy; verify it is established, published, maintained, and disseminated.</t>
  </si>
  <si>
    <t xml:space="preserve">12.1.2</t>
  </si>
  <si>
    <t xml:space="preserve">The information security policy is: Reviewed at least every 12 months; Updated as needed to reflect changes to business objectives or risks.</t>
  </si>
  <si>
    <t xml:space="preserve">Examine policies, procedures, and technical configurations; interview responsible personnel; observe implementations; inspect evidence documentation to confirm compliance with Requirement 12.1.2.</t>
  </si>
  <si>
    <t xml:space="preserve">12.1.3</t>
  </si>
  <si>
    <t xml:space="preserve">The security policy clearly defines information security roles and responsibilities for all personnel; all personnel are aware and acknowledge their responsibilities.</t>
  </si>
  <si>
    <t xml:space="preserve">Examine policies, procedures, and technical configurations; interview responsible personnel; observe implementations; inspect evidence documentation to confirm compliance with Requirement 12.1.3.</t>
  </si>
  <si>
    <t xml:space="preserve">12.1.4</t>
  </si>
  <si>
    <t xml:space="preserve">Responsibility for information security is formally assigned to a Chief Information Security Officer or other information security knowledgeable member of executive management.</t>
  </si>
  <si>
    <t xml:space="preserve">Examine policies, procedures, and technical configurations; interview responsible personnel; observe implementations; inspect evidence documentation to confirm compliance with Requirement 12.1.4.</t>
  </si>
  <si>
    <t xml:space="preserve">12.2</t>
  </si>
  <si>
    <t xml:space="preserve">Acceptable use policies for end-user technologies are defined and implemented.</t>
  </si>
  <si>
    <t xml:space="preserve">Examine policies, procedures, and technical configurations; interview responsible personnel; observe implementations; inspect evidence documentation to confirm compliance with Requirement 12.2.</t>
  </si>
  <si>
    <t xml:space="preserve">12.2.1</t>
  </si>
  <si>
    <t xml:space="preserve">Acceptable use policies for end-user technologies are documented and implemented: explicit approval by authorized parties; acceptable uses; list of approved products.</t>
  </si>
  <si>
    <t xml:space="preserve">Examine policies, procedures, and technical configurations; interview responsible personnel; observe implementations; inspect evidence documentation to confirm compliance with Requirement 12.2.1.</t>
  </si>
  <si>
    <t xml:space="preserve">12.3</t>
  </si>
  <si>
    <t xml:space="preserve">Targeted risks to the CDE are formally identified, evaluated, and managed.</t>
  </si>
  <si>
    <t xml:space="preserve">Examine policies, procedures, and technical configurations; interview responsible personnel; observe implementations; inspect evidence documentation to confirm compliance with Requirement 12.3.</t>
  </si>
  <si>
    <t xml:space="preserve">12.3.1</t>
  </si>
  <si>
    <t xml:space="preserve">Each PCI DSS requirement that provides flexibility for how frequently it is performed is supported by a documented targeted risk analysis that identifies assets, threats, likelihood/impact factors, and justification for frequency. [BP until 31 Mar 2025]</t>
  </si>
  <si>
    <t xml:space="preserve">Examine policies, procedures, and technical configurations; interview responsible personnel; observe implementations; inspect evidence documentation to confirm compliance with Requirement 12.3.1.</t>
  </si>
  <si>
    <t xml:space="preserve">12.3.2</t>
  </si>
  <si>
    <t xml:space="preserve">A targeted risk analysis is performed for each PCI DSS requirement met with the customized approach, including documented controls matrix and risk analysis approved by senior management.</t>
  </si>
  <si>
    <t xml:space="preserve">Customized Approach Only</t>
  </si>
  <si>
    <t xml:space="preserve">Examine policies, procedures, and technical configurations; interview responsible personnel; observe implementations; inspect evidence documentation to confirm compliance with Requirement 12.3.2.</t>
  </si>
  <si>
    <t xml:space="preserve">12.3.3</t>
  </si>
  <si>
    <t xml:space="preserve">Cryptographic cipher suites and protocols in use are documented and reviewed at least every 12 months including inventory, industry monitoring, and documented response strategy. [BP until 31 Mar 2025]</t>
  </si>
  <si>
    <t xml:space="preserve">Examine policies, procedures, and technical configurations; interview responsible personnel; observe implementations; inspect evidence documentation to confirm compliance with Requirement 12.3.3.</t>
  </si>
  <si>
    <t xml:space="preserve">12.3.4</t>
  </si>
  <si>
    <t xml:space="preserve">Hardware and software technologies in use are reviewed at least every 12 months: security fix analysis; PCI DSS compliance analysis; EOL documentation; remediation plan approved by senior management. [BP until 31 Mar 2025]</t>
  </si>
  <si>
    <t xml:space="preserve">Examine policies, procedures, and technical configurations; interview responsible personnel; observe implementations; inspect evidence documentation to confirm compliance with Requirement 12.3.4.</t>
  </si>
  <si>
    <t xml:space="preserve">12.4</t>
  </si>
  <si>
    <t xml:space="preserve">PCI DSS compliance is managed.</t>
  </si>
  <si>
    <t xml:space="preserve">Examine policies, procedures, and technical configurations; interview responsible personnel; observe implementations; inspect evidence documentation to confirm compliance with Requirement 12.4.</t>
  </si>
  <si>
    <t xml:space="preserve">12.4.1</t>
  </si>
  <si>
    <t xml:space="preserve">Additional – service providers only: Responsibility is established by executive management for protection of cardholder data and a PCI DSS compliance program including overall accountability and charter.</t>
  </si>
  <si>
    <t xml:space="preserve">Examine policies, procedures, and technical configurations; interview responsible personnel; observe implementations; inspect evidence documentation to confirm compliance with Requirement 12.4.1.</t>
  </si>
  <si>
    <t xml:space="preserve">12.4.2</t>
  </si>
  <si>
    <t xml:space="preserve">Additional – service providers only: Reviews at least every 3 months confirming personnel are performing their tasks per security policies and operational procedures (daily log reviews, config reviews, etc.).</t>
  </si>
  <si>
    <t xml:space="preserve">Examine policies, procedures, and technical configurations; interview responsible personnel; observe implementations; inspect evidence documentation to confirm compliance with Requirement 12.4.2.</t>
  </si>
  <si>
    <t xml:space="preserve">12.4.2.1</t>
  </si>
  <si>
    <t xml:space="preserve">Additional – service providers only: Reviews per Req 12.4.2 are documented including results, remediation actions, and review/sign-off by PCI DSS compliance program personnel.</t>
  </si>
  <si>
    <t xml:space="preserve">Examine policies, procedures, and technical configurations; interview responsible personnel; observe implementations; inspect evidence documentation to confirm compliance with Requirement 12.4.2.1.</t>
  </si>
  <si>
    <t xml:space="preserve">12.5</t>
  </si>
  <si>
    <t xml:space="preserve">PCI DSS scope is documented and validated.</t>
  </si>
  <si>
    <t xml:space="preserve">Examine policies, procedures, and technical configurations; interview responsible personnel; observe implementations; inspect evidence documentation to confirm compliance with Requirement 12.5.</t>
  </si>
  <si>
    <t xml:space="preserve">12.5.1</t>
  </si>
  <si>
    <t xml:space="preserve">An inventory of system components in scope for PCI DSS, including a description of function/use, is maintained and kept current.</t>
  </si>
  <si>
    <t xml:space="preserve">Examine policies, procedures, and technical configurations; interview responsible personnel; observe implementations; inspect evidence documentation to confirm compliance with Requirement 12.5.1.</t>
  </si>
  <si>
    <t xml:space="preserve">12.5.2</t>
  </si>
  <si>
    <t xml:space="preserve">PCI DSS scope is documented and confirmed at least every 12 months and upon significant change, validating all data flows, account data locations, system components, segmentation controls, and third-party connections.</t>
  </si>
  <si>
    <t xml:space="preserve">Examine policies, procedures, and technical configurations; interview responsible personnel; observe implementations; inspect evidence documentation to confirm compliance with Requirement 12.5.2.</t>
  </si>
  <si>
    <t xml:space="preserve">12.5.2.1</t>
  </si>
  <si>
    <t xml:space="preserve">Additional – service providers only: PCI DSS scope confirmed at least every 6 months and after significant changes. [BP until 31 Mar 2025]</t>
  </si>
  <si>
    <t xml:space="preserve">Examine policies, procedures, and technical configurations; interview responsible personnel; observe implementations; inspect evidence documentation to confirm compliance with Requirement 12.5.2.1.</t>
  </si>
  <si>
    <t xml:space="preserve">12.5.3</t>
  </si>
  <si>
    <t xml:space="preserve">Additional – service providers only: Significant changes to organizational structure result in a documented review of PCI DSS scope impact and applicability of controls, with results communicated to executive management. [BP until 31 Mar 2025]</t>
  </si>
  <si>
    <t xml:space="preserve">Per org change</t>
  </si>
  <si>
    <t xml:space="preserve">Examine policies, procedures, and technical configurations; interview responsible personnel; observe implementations; inspect evidence documentation to confirm compliance with Requirement 12.5.3.</t>
  </si>
  <si>
    <t xml:space="preserve">12.6</t>
  </si>
  <si>
    <t xml:space="preserve">Security awareness education is an ongoing activity.</t>
  </si>
  <si>
    <t xml:space="preserve">Examine policies, procedures, and technical configurations; interview responsible personnel; observe implementations; inspect evidence documentation to confirm compliance with Requirement 12.6.</t>
  </si>
  <si>
    <t xml:space="preserve">12.6.1</t>
  </si>
  <si>
    <t xml:space="preserve">A formal security awareness program is implemented to make all personnel aware of the entity's information security policy and procedures and their role in protecting cardholder data.</t>
  </si>
  <si>
    <t xml:space="preserve">Examine policies, procedures, and technical configurations; interview responsible personnel; observe implementations; inspect evidence documentation to confirm compliance with Requirement 12.6.1.</t>
  </si>
  <si>
    <t xml:space="preserve">12.6.2</t>
  </si>
  <si>
    <t xml:space="preserve">The security awareness program is reviewed at least every 12 months and updated to address new threats and vulnerabilities. [BP until 31 Mar 2025]</t>
  </si>
  <si>
    <t xml:space="preserve">Examine policies, procedures, and technical configurations; interview responsible personnel; observe implementations; inspect evidence documentation to confirm compliance with Requirement 12.6.2.</t>
  </si>
  <si>
    <t xml:space="preserve">12.6.3</t>
  </si>
  <si>
    <t xml:space="preserve">Personnel receive security awareness training: upon hire and at least every 12 months; using multiple methods of communication; acknowledging information security policy at least annually.</t>
  </si>
  <si>
    <t xml:space="preserve">Examine training records; verify all personnel trained at hire and annually; acknowledgments on file.</t>
  </si>
  <si>
    <t xml:space="preserve">12.6.3.1</t>
  </si>
  <si>
    <t xml:space="preserve">Security awareness training includes awareness of threats: phishing and related attacks; social engineering. [BP until 31 Mar 2025]</t>
  </si>
  <si>
    <t xml:space="preserve">Examine policies, procedures, and technical configurations; interview responsible personnel; observe implementations; inspect evidence documentation to confirm compliance with Requirement 12.6.3.1.</t>
  </si>
  <si>
    <t xml:space="preserve">12.6.3.2</t>
  </si>
  <si>
    <t xml:space="preserve">Security awareness training includes awareness about the acceptable use of end-user technologies per Req 12.2.1. [BP until 31 Mar 2025]</t>
  </si>
  <si>
    <t xml:space="preserve">Examine policies, procedures, and technical configurations; interview responsible personnel; observe implementations; inspect evidence documentation to confirm compliance with Requirement 12.6.3.2.</t>
  </si>
  <si>
    <t xml:space="preserve">12.7</t>
  </si>
  <si>
    <t xml:space="preserve">Personnel are screened to reduce risks from insider threats.</t>
  </si>
  <si>
    <t xml:space="preserve">Per hire</t>
  </si>
  <si>
    <t xml:space="preserve">Examine policies, procedures, and technical configurations; interview responsible personnel; observe implementations; inspect evidence documentation to confirm compliance with Requirement 12.7.</t>
  </si>
  <si>
    <t xml:space="preserve">12.7.1</t>
  </si>
  <si>
    <t xml:space="preserve">Potential personnel who will have access to the CDE are screened prior to hire within the constraints of local laws to minimize the risk of attacks from internal sources.</t>
  </si>
  <si>
    <t xml:space="preserve">Examine policies, procedures, and technical configurations; interview responsible personnel; observe implementations; inspect evidence documentation to confirm compliance with Requirement 12.7.1.</t>
  </si>
  <si>
    <t xml:space="preserve">12.8</t>
  </si>
  <si>
    <t xml:space="preserve">Risk to information assets associated with third-party service provider (TPSP) relationships is managed.</t>
  </si>
  <si>
    <t xml:space="preserve">Examine policies, procedures, and technical configurations; interview responsible personnel; observe implementations; inspect evidence documentation to confirm compliance with Requirement 12.8.</t>
  </si>
  <si>
    <t xml:space="preserve">12.8.1</t>
  </si>
  <si>
    <t xml:space="preserve">A list of all TPSPs with which account data is shared or that could affect security is maintained, including a description of services provided.</t>
  </si>
  <si>
    <t xml:space="preserve">Examine policies, procedures, and technical configurations; interview responsible personnel; observe implementations; inspect evidence documentation to confirm compliance with Requirement 12.8.1.</t>
  </si>
  <si>
    <t xml:space="preserve">12.8.2</t>
  </si>
  <si>
    <t xml:space="preserve">Written agreements with TPSPs include acknowledgments that TPSPs are responsible for the security of account data they possess/store/process/transmit on behalf of the entity.</t>
  </si>
  <si>
    <t xml:space="preserve">Per engagement</t>
  </si>
  <si>
    <t xml:space="preserve">Examine policies, procedures, and technical configurations; interview responsible personnel; observe implementations; inspect evidence documentation to confirm compliance with Requirement 12.8.2.</t>
  </si>
  <si>
    <t xml:space="preserve">12.8.3</t>
  </si>
  <si>
    <t xml:space="preserve">An established process is implemented for engaging TPSPs, including proper due diligence prior to engagement.</t>
  </si>
  <si>
    <t xml:space="preserve">Examine policies, procedures, and technical configurations; interview responsible personnel; observe implementations; inspect evidence documentation to confirm compliance with Requirement 12.8.3.</t>
  </si>
  <si>
    <t xml:space="preserve">12.8.4</t>
  </si>
  <si>
    <t xml:space="preserve">A program is implemented to monitor TPSPs' PCI DSS compliance status at least once every 12 months.</t>
  </si>
  <si>
    <t xml:space="preserve">Examine policies, procedures, and technical configurations; interview responsible personnel; observe implementations; inspect evidence documentation to confirm compliance with Requirement 12.8.4.</t>
  </si>
  <si>
    <t xml:space="preserve">12.8.5</t>
  </si>
  <si>
    <t xml:space="preserve">Information is maintained about which PCI DSS requirements are managed by each TPSP, which are managed by the entity, and any that are shared.</t>
  </si>
  <si>
    <t xml:space="preserve">Examine policies, procedures, and technical configurations; interview responsible personnel; observe implementations; inspect evidence documentation to confirm compliance with Requirement 12.8.5.</t>
  </si>
  <si>
    <t xml:space="preserve">12.9</t>
  </si>
  <si>
    <t xml:space="preserve">Third-party service providers support their customers' PCI DSS compliance.</t>
  </si>
  <si>
    <t xml:space="preserve">Examine policies, procedures, and technical configurations; interview responsible personnel; observe implementations; inspect evidence documentation to confirm compliance with Requirement 12.9.</t>
  </si>
  <si>
    <t xml:space="preserve">12.9.1</t>
  </si>
  <si>
    <t xml:space="preserve">Additional – service providers only: TPSPs provide written agreements to customers acknowledging TPSPs are responsible for security of account data they possess/process/transmit on behalf of the customer.</t>
  </si>
  <si>
    <t xml:space="preserve">Per agreement</t>
  </si>
  <si>
    <t xml:space="preserve">Examine policies, procedures, and technical configurations; interview responsible personnel; observe implementations; inspect evidence documentation to confirm compliance with Requirement 12.9.1.</t>
  </si>
  <si>
    <t xml:space="preserve">12.10</t>
  </si>
  <si>
    <t xml:space="preserve">Suspected and confirmed security incidents that could impact the CDE are responded to immediately.</t>
  </si>
  <si>
    <t xml:space="preserve">Examine policies, procedures, and technical configurations; interview responsible personnel; observe implementations; inspect evidence documentation to confirm compliance with Requirement 12.10.</t>
  </si>
  <si>
    <t xml:space="preserve">12.10.1</t>
  </si>
  <si>
    <t xml:space="preserve">An incident response plan is: created and implemented to be initiated in the event of a system breach; addresses at a minimum: roles/responsibilities; communication/contact strategies; specific incident response procedures.</t>
  </si>
  <si>
    <t xml:space="preserve">Examine incident response plan; verify it addresses roles, communications, and specific response procedures.</t>
  </si>
  <si>
    <t xml:space="preserve">12.10.2</t>
  </si>
  <si>
    <t xml:space="preserve">At least once every 12 months, the security incident response plan is: tested; reviewed and updated (as needed) to address changes in the environment.</t>
  </si>
  <si>
    <t xml:space="preserve">Examine policies, procedures, and technical configurations; interview responsible personnel; observe implementations; inspect evidence documentation to confirm compliance with Requirement 12.10.2.</t>
  </si>
  <si>
    <t xml:space="preserve">12.10.3</t>
  </si>
  <si>
    <t xml:space="preserve">Specific personnel are designated to be available 24×7 to respond to suspected or confirmed security incidents.</t>
  </si>
  <si>
    <t xml:space="preserve">Examine policies, procedures, and technical configurations; interview responsible personnel; observe implementations; inspect evidence documentation to confirm compliance with Requirement 12.10.3.</t>
  </si>
  <si>
    <t xml:space="preserve">12.10.4</t>
  </si>
  <si>
    <t xml:space="preserve">Personnel responsible for responding to suspected and confirmed security incidents are appropriately and periodically trained on their incident response responsibilities.</t>
  </si>
  <si>
    <t xml:space="preserve">Examine policies, procedures, and technical configurations; interview responsible personnel; observe implementations; inspect evidence documentation to confirm compliance with Requirement 12.10.4.</t>
  </si>
  <si>
    <t xml:space="preserve">12.10.4.1</t>
  </si>
  <si>
    <t xml:space="preserve">The frequency of periodic training for incident response personnel is defined in the entity's targeted risk analysis. [BP until 31 Mar 2025]</t>
  </si>
  <si>
    <t xml:space="preserve">Examine policies, procedures, and technical configurations; interview responsible personnel; observe implementations; inspect evidence documentation to confirm compliance with Requirement 12.10.4.1.</t>
  </si>
  <si>
    <t xml:space="preserve">12.10.5</t>
  </si>
  <si>
    <t xml:space="preserve">The security incident response plan includes monitoring and responding to alerts from security monitoring systems including: IDS/IPS; FIM; change-detection; anti-malware; access controls; audit logging.</t>
  </si>
  <si>
    <t xml:space="preserve">Examine policies, procedures, and technical configurations; interview responsible personnel; observe implementations; inspect evidence documentation to confirm compliance with Requirement 12.10.5.</t>
  </si>
  <si>
    <t xml:space="preserve">12.10.6</t>
  </si>
  <si>
    <t xml:space="preserve">The security incident response plan is modified and evolved according to lessons learned and to incorporate industry developments. [BP until 31 Mar 2025]</t>
  </si>
  <si>
    <t xml:space="preserve">Examine policies, procedures, and technical configurations; interview responsible personnel; observe implementations; inspect evidence documentation to confirm compliance with Requirement 12.10.6.</t>
  </si>
  <si>
    <t xml:space="preserve">12.10.7</t>
  </si>
  <si>
    <t xml:space="preserve">Incident response procedures are in place, to be initiated upon detection of stored PAN anywhere it is not expected, and include: determining what to do if PAN is discovered outside the CDE; identifying whether sensitive payment data is stored with the PAN; determining how the PAN ended up where it is not expected; identifying the source of the data and how it got there; remediating the data leak. [BP until 31 Mar 2025]</t>
  </si>
  <si>
    <t xml:space="preserve">Examine policies, procedures, and technical configurations; interview responsible personnel; observe implementations; inspect evidence documentation to confirm compliance with Requirement 12.10.7.</t>
  </si>
  <si>
    <t xml:space="preserve">PCI DSS v4.0.1 — PRIORITIZED APPROACH TRACKER</t>
  </si>
  <si>
    <t xml:space="preserve">M1: 16 controls</t>
  </si>
  <si>
    <t xml:space="preserve">M2: 132 controls</t>
  </si>
  <si>
    <t xml:space="preserve">M3: 10 controls</t>
  </si>
  <si>
    <t xml:space="preserve">M4: 52 controls</t>
  </si>
  <si>
    <t xml:space="preserve">M5: 38 controls</t>
  </si>
  <si>
    <t xml:space="preserve">M6: 64 controls</t>
  </si>
  <si>
    <t xml:space="preserve">DESCRIPTION</t>
  </si>
  <si>
    <t xml:space="preserve">MILESTONE FOCUS</t>
  </si>
  <si>
    <t xml:space="preserve">STATUS</t>
  </si>
  <si>
    <t xml:space="preserve">TARGET DATE</t>
  </si>
  <si>
    <t xml:space="preserve">COMPLETION DATE</t>
  </si>
  <si>
    <t xml:space="preserve">MILESTONE 6: Milestone 6 – Complete remaining compliance &amp; ensure all controls in place</t>
  </si>
  <si>
    <t xml:space="preserve">Milestone 6 – Complete remaining compliance &amp; ensure all controls in place</t>
  </si>
  <si>
    <t xml:space="preserve">MILESTONE 2: Milestone 2 – Protect systems/networks &amp; prepare for breach response</t>
  </si>
  <si>
    <t xml:space="preserve">Milestone 2 – Protect systems/networks &amp; prepare for breach response</t>
  </si>
  <si>
    <t xml:space="preserve">MILESTONE 1: Milestone 1 – Do not store sensitive auth data / limit CHD retention</t>
  </si>
  <si>
    <t xml:space="preserve">Milestone 1 – Do not store sensitive auth data / limit CHD retention</t>
  </si>
  <si>
    <t xml:space="preserve">MILESTONE 5: Milestone 5 – Protect stored cardholder data</t>
  </si>
  <si>
    <t xml:space="preserve">Milestone 5 – Protect stored cardholder data</t>
  </si>
  <si>
    <t xml:space="preserve">MILESTONE 3: Milestone 3 – Secure payment applications</t>
  </si>
  <si>
    <t xml:space="preserve">Milestone 3 – Secure payment applications</t>
  </si>
  <si>
    <t xml:space="preserve">MILESTONE 4: Milestone 4 – Monitor &amp; control access to systems</t>
  </si>
  <si>
    <t xml:space="preserve">Milestone 4 – Monitor &amp; control access to systems</t>
  </si>
  <si>
    <t xml:space="preserve">PCI DSS v4.0.1 — EVIDENCE &amp; DOCUMENTATION TRACKER</t>
  </si>
  <si>
    <t xml:space="preserve">EVIDENCE ID</t>
  </si>
  <si>
    <t xml:space="preserve">LINKED REQ ID</t>
  </si>
  <si>
    <t xml:space="preserve">REQUIREMENT DESCRIPTION (BRIEF)</t>
  </si>
  <si>
    <t xml:space="preserve">DOCUMENT TITLE</t>
  </si>
  <si>
    <t xml:space="preserve">DOCUMENT REFERENCE</t>
  </si>
  <si>
    <t xml:space="preserve">DOCUMENT VERSION</t>
  </si>
  <si>
    <t xml:space="preserve">DOCUMENT OWNER</t>
  </si>
  <si>
    <t xml:space="preserve">STORAGE LOCATION</t>
  </si>
  <si>
    <t xml:space="preserve">DATE COLLECTED</t>
  </si>
  <si>
    <t xml:space="preserve">DATE REVIEWED</t>
  </si>
  <si>
    <t xml:space="preserve">REVIEWED BY</t>
  </si>
  <si>
    <t xml:space="preserve">EVIDENCE NOTES</t>
  </si>
  <si>
    <t xml:space="preserve">EV-0001</t>
  </si>
  <si>
    <t xml:space="preserve">Processes and mechanisms for installing and maintaining network security control...</t>
  </si>
  <si>
    <t xml:space="preserve">Pending Collection</t>
  </si>
  <si>
    <t xml:space="preserve">EV-0002</t>
  </si>
  <si>
    <t xml:space="preserve">All security policies and operational procedures that are identified in Requirem...</t>
  </si>
  <si>
    <t xml:space="preserve">EV-0003</t>
  </si>
  <si>
    <t xml:space="preserve">Roles and responsibilities for performing activities in Requirement 1 are docume...</t>
  </si>
  <si>
    <t xml:space="preserve">EV-0004</t>
  </si>
  <si>
    <t xml:space="preserve">EV-0005</t>
  </si>
  <si>
    <t xml:space="preserve">EV-0006</t>
  </si>
  <si>
    <t xml:space="preserve">All changes to network connections and to configurations of NSCs are approved an...</t>
  </si>
  <si>
    <t xml:space="preserve">EV-0007</t>
  </si>
  <si>
    <t xml:space="preserve">An accurate network diagram(s) is maintained that shows all connections between ...</t>
  </si>
  <si>
    <t xml:space="preserve">EV-0008</t>
  </si>
  <si>
    <t xml:space="preserve">An accurate data-flow diagram(s) is maintained that shows all account data flows...</t>
  </si>
  <si>
    <t xml:space="preserve">EV-0009</t>
  </si>
  <si>
    <t xml:space="preserve">All services, protocols and ports allowed are identified, approved, and have a d...</t>
  </si>
  <si>
    <t xml:space="preserve">EV-0010</t>
  </si>
  <si>
    <t xml:space="preserve">Security features are defined and implemented for all services, protocols, and p...</t>
  </si>
  <si>
    <t xml:space="preserve">EV-0011</t>
  </si>
  <si>
    <t xml:space="preserve">Configurations of NSCs are reviewed at least once every six months to confirm th...</t>
  </si>
  <si>
    <t xml:space="preserve">EV-0012</t>
  </si>
  <si>
    <t xml:space="preserve">Configuration files for NSCs are: Secured from unauthorized access; Kept consist...</t>
  </si>
  <si>
    <t xml:space="preserve">EV-0013</t>
  </si>
  <si>
    <t xml:space="preserve">EV-0014</t>
  </si>
  <si>
    <t xml:space="preserve">Inbound traffic to the CDE is restricted to only traffic that is necessary; all ...</t>
  </si>
  <si>
    <t xml:space="preserve">EV-0015</t>
  </si>
  <si>
    <t xml:space="preserve">Outbound traffic from the CDE is restricted to only traffic that is necessary; a...</t>
  </si>
  <si>
    <t xml:space="preserve">EV-0016</t>
  </si>
  <si>
    <t xml:space="preserve">NSCs are installed between all wireless networks and the CDE; all wireless traff...</t>
  </si>
  <si>
    <t xml:space="preserve">EV-0017</t>
  </si>
  <si>
    <t xml:space="preserve">EV-0018</t>
  </si>
  <si>
    <t xml:space="preserve">EV-0019</t>
  </si>
  <si>
    <t xml:space="preserve">Inbound traffic from untrusted networks to trusted networks is restricted to aut...</t>
  </si>
  <si>
    <t xml:space="preserve">EV-0020</t>
  </si>
  <si>
    <t xml:space="preserve">Anti-spoofing measures are implemented to detect and block forged source IP addr...</t>
  </si>
  <si>
    <t xml:space="preserve">EV-0021</t>
  </si>
  <si>
    <t xml:space="preserve">System components that store cardholder data are not directly accessible from un...</t>
  </si>
  <si>
    <t xml:space="preserve">EV-0022</t>
  </si>
  <si>
    <t xml:space="preserve">The disclosure of internal IP addresses and routing information is limited to on...</t>
  </si>
  <si>
    <t xml:space="preserve">EV-0023</t>
  </si>
  <si>
    <t xml:space="preserve">Risks to the CDE from computing devices that are able to connect to both untrust...</t>
  </si>
  <si>
    <t xml:space="preserve">EV-0024</t>
  </si>
  <si>
    <t xml:space="preserve">Security controls are implemented on any computing devices (company- and employe...</t>
  </si>
  <si>
    <t xml:space="preserve">EV-0025</t>
  </si>
  <si>
    <t xml:space="preserve">Processes and mechanisms for applying secure configurations to all system compon...</t>
  </si>
  <si>
    <t xml:space="preserve">EV-0026</t>
  </si>
  <si>
    <t xml:space="preserve">EV-0027</t>
  </si>
  <si>
    <t xml:space="preserve">Roles and responsibilities for performing activities in Requirement 2 are docume...</t>
  </si>
  <si>
    <t xml:space="preserve">EV-0028</t>
  </si>
  <si>
    <t xml:space="preserve">EV-0029</t>
  </si>
  <si>
    <t xml:space="preserve">Configuration standards are developed, implemented, and maintained to cover all ...</t>
  </si>
  <si>
    <t xml:space="preserve">EV-0030</t>
  </si>
  <si>
    <t xml:space="preserve">Vendor default accounts are managed: default passwords changed if used; accounts...</t>
  </si>
  <si>
    <t xml:space="preserve">EV-0031</t>
  </si>
  <si>
    <t xml:space="preserve">Primary functions requiring different security levels are managed: isolated from...</t>
  </si>
  <si>
    <t xml:space="preserve">EV-0032</t>
  </si>
  <si>
    <t xml:space="preserve">Only necessary services, protocols, daemons, and functions are enabled; all unne...</t>
  </si>
  <si>
    <t xml:space="preserve">EV-0033</t>
  </si>
  <si>
    <t xml:space="preserve">If any insecure services, protocols, or daemons are present: business justificat...</t>
  </si>
  <si>
    <t xml:space="preserve">EV-0034</t>
  </si>
  <si>
    <t xml:space="preserve">EV-0035</t>
  </si>
  <si>
    <t xml:space="preserve">All non-console administrative access is encrypted using strong cryptography (in...</t>
  </si>
  <si>
    <t xml:space="preserve">EV-0036</t>
  </si>
  <si>
    <t xml:space="preserve">EV-0037</t>
  </si>
  <si>
    <t xml:space="preserve">For wireless environments connected to CDE or transmitting account data, all wir...</t>
  </si>
  <si>
    <t xml:space="preserve">EV-0038</t>
  </si>
  <si>
    <t xml:space="preserve">For wireless environments connected to CDE or transmitting account data, wireles...</t>
  </si>
  <si>
    <t xml:space="preserve">EV-0039</t>
  </si>
  <si>
    <t xml:space="preserve">Processes and mechanisms for protecting stored account data are defined and unde...</t>
  </si>
  <si>
    <t xml:space="preserve">EV-0040</t>
  </si>
  <si>
    <t xml:space="preserve">EV-0041</t>
  </si>
  <si>
    <t xml:space="preserve">Roles and responsibilities for performing activities in Requirement 3 are docume...</t>
  </si>
  <si>
    <t xml:space="preserve">EV-0042</t>
  </si>
  <si>
    <t xml:space="preserve">EV-0043</t>
  </si>
  <si>
    <t xml:space="preserve">Account data storage is minimized through data retention and disposal policies c...</t>
  </si>
  <si>
    <t xml:space="preserve">EV-0044</t>
  </si>
  <si>
    <t xml:space="preserve">EV-0045</t>
  </si>
  <si>
    <t xml:space="preserve">SAD is not retained after authorization, even if encrypted. All SAD received is ...</t>
  </si>
  <si>
    <t xml:space="preserve">EV-0046</t>
  </si>
  <si>
    <t xml:space="preserve">The full contents of any track are not retained upon completion of the authoriza...</t>
  </si>
  <si>
    <t xml:space="preserve">EV-0047</t>
  </si>
  <si>
    <t xml:space="preserve">The card verification code is not retained upon completion of the authorization ...</t>
  </si>
  <si>
    <t xml:space="preserve">EV-0048</t>
  </si>
  <si>
    <t xml:space="preserve">The personal identification number (PIN) and the PIN block are not retained upon...</t>
  </si>
  <si>
    <t xml:space="preserve">EV-0049</t>
  </si>
  <si>
    <t xml:space="preserve">SAD that is stored electronically prior to completion of authorization is encryp...</t>
  </si>
  <si>
    <t xml:space="preserve">EV-0050</t>
  </si>
  <si>
    <t xml:space="preserve">Additional – issuers only: Any storage of SAD is limited to legitimate business ...</t>
  </si>
  <si>
    <t xml:space="preserve">EV-0051</t>
  </si>
  <si>
    <t xml:space="preserve">EV-0052</t>
  </si>
  <si>
    <t xml:space="preserve">PAN is masked when displayed (BIN and last four digits maximum) such that only p...</t>
  </si>
  <si>
    <t xml:space="preserve">EV-0053</t>
  </si>
  <si>
    <t xml:space="preserve">When using remote-access technologies, technical controls prevent copy and/or re...</t>
  </si>
  <si>
    <t xml:space="preserve">EV-0054</t>
  </si>
  <si>
    <t xml:space="preserve">EV-0055</t>
  </si>
  <si>
    <t xml:space="preserve">PAN is rendered unreadable anywhere it is stored using: one-way hashes; truncati...</t>
  </si>
  <si>
    <t xml:space="preserve">EV-0056</t>
  </si>
  <si>
    <t xml:space="preserve">Hashes used to render PAN unreadable are keyed cryptographic hashes of the entir...</t>
  </si>
  <si>
    <t xml:space="preserve">EV-0057</t>
  </si>
  <si>
    <t xml:space="preserve">Disk/partition-level encryption to render PAN unreadable: only on removable medi...</t>
  </si>
  <si>
    <t xml:space="preserve">EV-0058</t>
  </si>
  <si>
    <t xml:space="preserve">Disk/partition-level encryption is managed with logical access independent of na...</t>
  </si>
  <si>
    <t xml:space="preserve">EV-0059</t>
  </si>
  <si>
    <t xml:space="preserve">EV-0060</t>
  </si>
  <si>
    <t xml:space="preserve">Procedures defined and implemented to protect cryptographic keys: access restric...</t>
  </si>
  <si>
    <t xml:space="preserve">EV-0061</t>
  </si>
  <si>
    <t xml:space="preserve">Additional – service providers only: Documented description of the cryptographic...</t>
  </si>
  <si>
    <t xml:space="preserve">EV-0062</t>
  </si>
  <si>
    <t xml:space="preserve">Secret and private keys used to protect stored account data are stored: encrypte...</t>
  </si>
  <si>
    <t xml:space="preserve">EV-0063</t>
  </si>
  <si>
    <t xml:space="preserve">Access to cleartext cryptographic key components is restricted to the fewest num...</t>
  </si>
  <si>
    <t xml:space="preserve">EV-0064</t>
  </si>
  <si>
    <t xml:space="preserve">EV-0065</t>
  </si>
  <si>
    <t xml:space="preserve">Key management processes and procedures covering all aspects of the key lifecycl...</t>
  </si>
  <si>
    <t xml:space="preserve">EV-0066</t>
  </si>
  <si>
    <t xml:space="preserve">Key-management policies and procedures for generation of strong cryptographic ke...</t>
  </si>
  <si>
    <t xml:space="preserve">EV-0067</t>
  </si>
  <si>
    <t xml:space="preserve">Key-management policies and procedures for secure distribution of cryptographic ...</t>
  </si>
  <si>
    <t xml:space="preserve">EV-0068</t>
  </si>
  <si>
    <t xml:space="preserve">Key-management policies and procedures for secure storage of cryptographic keys ...</t>
  </si>
  <si>
    <t xml:space="preserve">EV-0069</t>
  </si>
  <si>
    <t xml:space="preserve">Key management policies and procedures for key changes at end of cryptoperiod ar...</t>
  </si>
  <si>
    <t xml:space="preserve">EV-0070</t>
  </si>
  <si>
    <t xml:space="preserve">Key management policies for retirement, replacement, or destruction of keys are ...</t>
  </si>
  <si>
    <t xml:space="preserve">EV-0071</t>
  </si>
  <si>
    <t xml:space="preserve">Where manual cleartext key-management operations are performed by personnel, spl...</t>
  </si>
  <si>
    <t xml:space="preserve">EV-0072</t>
  </si>
  <si>
    <t xml:space="preserve">Key management policies include prevention of unauthorized substitution of crypt...</t>
  </si>
  <si>
    <t xml:space="preserve">EV-0073</t>
  </si>
  <si>
    <t xml:space="preserve">Cryptographic key custodians formally acknowledge (in writing or electronically)...</t>
  </si>
  <si>
    <t xml:space="preserve">EV-0074</t>
  </si>
  <si>
    <t xml:space="preserve">Additional – service providers only: Guidance on secure transmission, storage, a...</t>
  </si>
  <si>
    <t xml:space="preserve">EV-0075</t>
  </si>
  <si>
    <t xml:space="preserve">Processes and mechanisms for protecting cardholder data during transmission are ...</t>
  </si>
  <si>
    <t xml:space="preserve">EV-0076</t>
  </si>
  <si>
    <t xml:space="preserve">All security policies and operational procedures identified in Requirement 4 are...</t>
  </si>
  <si>
    <t xml:space="preserve">EV-0077</t>
  </si>
  <si>
    <t xml:space="preserve">Roles and responsibilities for performing activities in Requirement 4 are docume...</t>
  </si>
  <si>
    <t xml:space="preserve">EV-0078</t>
  </si>
  <si>
    <t xml:space="preserve">EV-0079</t>
  </si>
  <si>
    <t xml:space="preserve">Strong cryptography and security protocols implemented for PAN transmission over...</t>
  </si>
  <si>
    <t xml:space="preserve">EV-0080</t>
  </si>
  <si>
    <t xml:space="preserve">An inventory of the entity's trusted keys and certificates is maintained. [BP un...</t>
  </si>
  <si>
    <t xml:space="preserve">EV-0081</t>
  </si>
  <si>
    <t xml:space="preserve">Wireless networks transmitting PAN or connected to the CDE use industry best pra...</t>
  </si>
  <si>
    <t xml:space="preserve">EV-0082</t>
  </si>
  <si>
    <t xml:space="preserve">PAN is secured with strong cryptography whenever it is sent via end-user messagi...</t>
  </si>
  <si>
    <t xml:space="preserve">EV-0083</t>
  </si>
  <si>
    <t xml:space="preserve">Processes and mechanisms for protecting all systems and networks from malicious ...</t>
  </si>
  <si>
    <t xml:space="preserve">EV-0084</t>
  </si>
  <si>
    <t xml:space="preserve">All security policies and operational procedures identified in Requirement 5 are...</t>
  </si>
  <si>
    <t xml:space="preserve">EV-0085</t>
  </si>
  <si>
    <t xml:space="preserve">Roles and responsibilities for performing activities in Requirement 5 are docume...</t>
  </si>
  <si>
    <t xml:space="preserve">EV-0086</t>
  </si>
  <si>
    <t xml:space="preserve">EV-0087</t>
  </si>
  <si>
    <t xml:space="preserve">An anti-malware solution(s) is deployed on all system components, except those p...</t>
  </si>
  <si>
    <t xml:space="preserve">EV-0088</t>
  </si>
  <si>
    <t xml:space="preserve">The deployed anti-malware solution(s): detects all known types of malware; remov...</t>
  </si>
  <si>
    <t xml:space="preserve">EV-0089</t>
  </si>
  <si>
    <t xml:space="preserve">System components not at risk for malware are evaluated periodically with: a doc...</t>
  </si>
  <si>
    <t xml:space="preserve">EV-0090</t>
  </si>
  <si>
    <t xml:space="preserve">The frequency of periodic evaluations of system components identified as not at ...</t>
  </si>
  <si>
    <t xml:space="preserve">EV-0091</t>
  </si>
  <si>
    <t xml:space="preserve">EV-0092</t>
  </si>
  <si>
    <t xml:space="preserve">EV-0093</t>
  </si>
  <si>
    <t xml:space="preserve">The anti-malware solution(s): performs periodic scans and active/real-time scans...</t>
  </si>
  <si>
    <t xml:space="preserve">EV-0094</t>
  </si>
  <si>
    <t xml:space="preserve">If periodic malware scans are performed, the frequency is defined in the entity'...</t>
  </si>
  <si>
    <t xml:space="preserve">EV-0095</t>
  </si>
  <si>
    <t xml:space="preserve">For removable electronic media, the anti-malware solution performs automatic sca...</t>
  </si>
  <si>
    <t xml:space="preserve">EV-0096</t>
  </si>
  <si>
    <t xml:space="preserve">Audit logs for the anti-malware solution(s) are enabled and retained in accordan...</t>
  </si>
  <si>
    <t xml:space="preserve">EV-0097</t>
  </si>
  <si>
    <t xml:space="preserve">Anti-malware mechanisms cannot be disabled or altered by users, unless specifica...</t>
  </si>
  <si>
    <t xml:space="preserve">EV-0098</t>
  </si>
  <si>
    <t xml:space="preserve">EV-0099</t>
  </si>
  <si>
    <t xml:space="preserve">Processes and automated mechanisms are in place to detect and protect personnel ...</t>
  </si>
  <si>
    <t xml:space="preserve">EV-0100</t>
  </si>
  <si>
    <t xml:space="preserve">Processes and mechanisms for developing and maintaining secure systems and softw...</t>
  </si>
  <si>
    <t xml:space="preserve">EV-0101</t>
  </si>
  <si>
    <t xml:space="preserve">All security policies and operational procedures identified in Requirement 6 are...</t>
  </si>
  <si>
    <t xml:space="preserve">EV-0102</t>
  </si>
  <si>
    <t xml:space="preserve">Roles and responsibilities for performing activities in Requirement 6 are docume...</t>
  </si>
  <si>
    <t xml:space="preserve">EV-0103</t>
  </si>
  <si>
    <t xml:space="preserve">EV-0104</t>
  </si>
  <si>
    <t xml:space="preserve">Bespoke and custom software are developed securely: based on industry standards;...</t>
  </si>
  <si>
    <t xml:space="preserve">EV-0105</t>
  </si>
  <si>
    <t xml:space="preserve">Software development personnel working on bespoke/custom software are trained at...</t>
  </si>
  <si>
    <t xml:space="preserve">EV-0106</t>
  </si>
  <si>
    <t xml:space="preserve">Bespoke and custom software is reviewed prior to release to production to identi...</t>
  </si>
  <si>
    <t xml:space="preserve">EV-0107</t>
  </si>
  <si>
    <t xml:space="preserve">If manual code reviews are performed, code changes are reviewed by individuals o...</t>
  </si>
  <si>
    <t xml:space="preserve">EV-0108</t>
  </si>
  <si>
    <t xml:space="preserve">Software engineering techniques defined and in use to prevent/mitigate: injectio...</t>
  </si>
  <si>
    <t xml:space="preserve">EV-0109</t>
  </si>
  <si>
    <t xml:space="preserve">EV-0110</t>
  </si>
  <si>
    <t xml:space="preserve">Security vulnerabilities are identified and managed: using industry-recognized s...</t>
  </si>
  <si>
    <t xml:space="preserve">EV-0111</t>
  </si>
  <si>
    <t xml:space="preserve">An inventory of bespoke/custom software and third-party software components is m...</t>
  </si>
  <si>
    <t xml:space="preserve">EV-0112</t>
  </si>
  <si>
    <t xml:space="preserve">All system components are protected from known vulnerabilities: critical/high pa...</t>
  </si>
  <si>
    <t xml:space="preserve">EV-0113</t>
  </si>
  <si>
    <t xml:space="preserve">EV-0114</t>
  </si>
  <si>
    <t xml:space="preserve">For public-facing web applications, new threats/vulnerabilities are addressed on...</t>
  </si>
  <si>
    <t xml:space="preserve">EV-0115</t>
  </si>
  <si>
    <t xml:space="preserve">For public-facing web applications, an automated technical solution is deployed ...</t>
  </si>
  <si>
    <t xml:space="preserve">EV-0116</t>
  </si>
  <si>
    <t xml:space="preserve">All payment page scripts loaded in the consumer browser are managed: authorizati...</t>
  </si>
  <si>
    <t xml:space="preserve">EV-0117</t>
  </si>
  <si>
    <t xml:space="preserve">EV-0118</t>
  </si>
  <si>
    <t xml:space="preserve">Changes to all system components in production are made according to procedures ...</t>
  </si>
  <si>
    <t xml:space="preserve">EV-0119</t>
  </si>
  <si>
    <t xml:space="preserve">Upon completion of a significant change, all applicable PCI DSS requirements are...</t>
  </si>
  <si>
    <t xml:space="preserve">EV-0120</t>
  </si>
  <si>
    <t xml:space="preserve">Pre-production environments are separated from production environments and the s...</t>
  </si>
  <si>
    <t xml:space="preserve">EV-0121</t>
  </si>
  <si>
    <t xml:space="preserve">Roles and functions are separated between production and pre-production environm...</t>
  </si>
  <si>
    <t xml:space="preserve">EV-0122</t>
  </si>
  <si>
    <t xml:space="preserve">Live PANs are not used in pre-production environments, except where those enviro...</t>
  </si>
  <si>
    <t xml:space="preserve">EV-0123</t>
  </si>
  <si>
    <t xml:space="preserve">Test data and test accounts are removed from system components before the system...</t>
  </si>
  <si>
    <t xml:space="preserve">EV-0124</t>
  </si>
  <si>
    <t xml:space="preserve">Processes and mechanisms for restricting access by business need to know are def...</t>
  </si>
  <si>
    <t xml:space="preserve">EV-0125</t>
  </si>
  <si>
    <t xml:space="preserve">All security policies and operational procedures identified in Requirement 7 are...</t>
  </si>
  <si>
    <t xml:space="preserve">EV-0126</t>
  </si>
  <si>
    <t xml:space="preserve">Roles and responsibilities for performing activities in Requirement 7 are docume...</t>
  </si>
  <si>
    <t xml:space="preserve">EV-0127</t>
  </si>
  <si>
    <t xml:space="preserve">EV-0128</t>
  </si>
  <si>
    <t xml:space="preserve">An access control model is defined granting access based on business needs, job ...</t>
  </si>
  <si>
    <t xml:space="preserve">EV-0129</t>
  </si>
  <si>
    <t xml:space="preserve">Access is assigned to users, including privileged users, based on job classifica...</t>
  </si>
  <si>
    <t xml:space="preserve">EV-0130</t>
  </si>
  <si>
    <t xml:space="preserve">EV-0131</t>
  </si>
  <si>
    <t xml:space="preserve">All user accounts and related access privileges, including third-party/vendor ac...</t>
  </si>
  <si>
    <t xml:space="preserve">EV-0132</t>
  </si>
  <si>
    <t xml:space="preserve">All application and system accounts and related access privileges are assigned a...</t>
  </si>
  <si>
    <t xml:space="preserve">EV-0133</t>
  </si>
  <si>
    <t xml:space="preserve">All access by application/system accounts is reviewed periodically per TRA frequ...</t>
  </si>
  <si>
    <t xml:space="preserve">EV-0134</t>
  </si>
  <si>
    <t xml:space="preserve">All user access to query repositories of stored cardholder data is restricted vi...</t>
  </si>
  <si>
    <t xml:space="preserve">EV-0135</t>
  </si>
  <si>
    <t xml:space="preserve">Logical access to system components and data is managed via an access control sy...</t>
  </si>
  <si>
    <t xml:space="preserve">EV-0136</t>
  </si>
  <si>
    <t xml:space="preserve">An access control system(s) is in place that restricts access based on a user's ...</t>
  </si>
  <si>
    <t xml:space="preserve">EV-0137</t>
  </si>
  <si>
    <t xml:space="preserve">The access control system(s) is configured to enforce privileges assigned to ind...</t>
  </si>
  <si>
    <t xml:space="preserve">EV-0138</t>
  </si>
  <si>
    <t xml:space="preserve">EV-0139</t>
  </si>
  <si>
    <t xml:space="preserve">Processes and mechanisms for identifying users and authenticating access to syst...</t>
  </si>
  <si>
    <t xml:space="preserve">EV-0140</t>
  </si>
  <si>
    <t xml:space="preserve">All security policies and operational procedures identified in Requirement 8 are...</t>
  </si>
  <si>
    <t xml:space="preserve">EV-0141</t>
  </si>
  <si>
    <t xml:space="preserve">Roles and responsibilities for performing activities in Requirement 8 are docume...</t>
  </si>
  <si>
    <t xml:space="preserve">EV-0142</t>
  </si>
  <si>
    <t xml:space="preserve">User identification and related accounts are strictly managed throughout an acco...</t>
  </si>
  <si>
    <t xml:space="preserve">EV-0143</t>
  </si>
  <si>
    <t xml:space="preserve">All users are assigned a unique ID before access to system components or cardhol...</t>
  </si>
  <si>
    <t xml:space="preserve">EV-0144</t>
  </si>
  <si>
    <t xml:space="preserve">Group, shared, or generic accounts are only used when necessary on an exception ...</t>
  </si>
  <si>
    <t xml:space="preserve">EV-0145</t>
  </si>
  <si>
    <t xml:space="preserve">Additional – service providers only: Service providers with remote access to cus...</t>
  </si>
  <si>
    <t xml:space="preserve">EV-0146</t>
  </si>
  <si>
    <t xml:space="preserve">Addition, deletion, and modification of user IDs and authentication factors are ...</t>
  </si>
  <si>
    <t xml:space="preserve">EV-0147</t>
  </si>
  <si>
    <t xml:space="preserve">EV-0148</t>
  </si>
  <si>
    <t xml:space="preserve">EV-0149</t>
  </si>
  <si>
    <t xml:space="preserve">Accounts used by third parties via remote access: enabled only during time neede...</t>
  </si>
  <si>
    <t xml:space="preserve">EV-0150</t>
  </si>
  <si>
    <t xml:space="preserve">If a user session has been idle for more than 15 minutes, the user is required t...</t>
  </si>
  <si>
    <t xml:space="preserve">EV-0151</t>
  </si>
  <si>
    <t xml:space="preserve">EV-0152</t>
  </si>
  <si>
    <t xml:space="preserve">All user access to system components is authenticated via at least one of: somet...</t>
  </si>
  <si>
    <t xml:space="preserve">EV-0153</t>
  </si>
  <si>
    <t xml:space="preserve">Strong cryptography is used to render all authentication factors unreadable duri...</t>
  </si>
  <si>
    <t xml:space="preserve">EV-0154</t>
  </si>
  <si>
    <t xml:space="preserve">EV-0155</t>
  </si>
  <si>
    <t xml:space="preserve">Invalid authentication attempts are limited: account locked after ≤10 attempts; ...</t>
  </si>
  <si>
    <t xml:space="preserve">EV-0156</t>
  </si>
  <si>
    <t xml:space="preserve">Passwords/passphrases used as authentication factors are set to a unique value f...</t>
  </si>
  <si>
    <t xml:space="preserve">EV-0157</t>
  </si>
  <si>
    <t xml:space="preserve">Passwords/passphrases meet minimum complexity: ≥12 characters (or ≥8 if system d...</t>
  </si>
  <si>
    <t xml:space="preserve">EV-0158</t>
  </si>
  <si>
    <t xml:space="preserve">Individuals are not allowed to submit a new password/passphrase that is the same...</t>
  </si>
  <si>
    <t xml:space="preserve">EV-0159</t>
  </si>
  <si>
    <t xml:space="preserve">Authentication policies and procedures are documented and communicated: guidance...</t>
  </si>
  <si>
    <t xml:space="preserve">EV-0160</t>
  </si>
  <si>
    <t xml:space="preserve">If passwords are the only authentication factor: changed at least every 90 days ...</t>
  </si>
  <si>
    <t xml:space="preserve">EV-0161</t>
  </si>
  <si>
    <t xml:space="preserve">Additional – service providers only: If passwords are the only auth factor for c...</t>
  </si>
  <si>
    <t xml:space="preserve">EV-0162</t>
  </si>
  <si>
    <t xml:space="preserve">Additional – service providers only: Customer user passwords changed at least ev...</t>
  </si>
  <si>
    <t xml:space="preserve">EV-0163</t>
  </si>
  <si>
    <t xml:space="preserve">Where physical/logical security tokens, smart cards, or certificates are used: a...</t>
  </si>
  <si>
    <t xml:space="preserve">EV-0164</t>
  </si>
  <si>
    <t xml:space="preserve">EV-0165</t>
  </si>
  <si>
    <t xml:space="preserve">MFA is implemented for all non-console access into the CDE for personnel with ad...</t>
  </si>
  <si>
    <t xml:space="preserve">EV-0166</t>
  </si>
  <si>
    <t xml:space="preserve">MFA is implemented for all non-console access into the CDE. [BP until 31 Mar 202...</t>
  </si>
  <si>
    <t xml:space="preserve">EV-0167</t>
  </si>
  <si>
    <t xml:space="preserve">MFA is implemented for all remote network access originating from outside the en...</t>
  </si>
  <si>
    <t xml:space="preserve">EV-0168</t>
  </si>
  <si>
    <t xml:space="preserve">EV-0169</t>
  </si>
  <si>
    <t xml:space="preserve">MFA systems: not susceptible to replay attacks; cannot be bypassed (including by...</t>
  </si>
  <si>
    <t xml:space="preserve">EV-0170</t>
  </si>
  <si>
    <t xml:space="preserve">Use of application and system accounts and associated authentication factors are...</t>
  </si>
  <si>
    <t xml:space="preserve">EV-0171</t>
  </si>
  <si>
    <t xml:space="preserve">If accounts used by systems/applications can be used for interactive login: inte...</t>
  </si>
  <si>
    <t xml:space="preserve">EV-0172</t>
  </si>
  <si>
    <t xml:space="preserve">Passwords/passphrases for application/system accounts that can be used for inter...</t>
  </si>
  <si>
    <t xml:space="preserve">EV-0173</t>
  </si>
  <si>
    <t xml:space="preserve">Passwords/passphrases for application/system accounts are changed periodically p...</t>
  </si>
  <si>
    <t xml:space="preserve">EV-0174</t>
  </si>
  <si>
    <t xml:space="preserve">Processes and mechanisms for restricting physical access to cardholder data are ...</t>
  </si>
  <si>
    <t xml:space="preserve">EV-0175</t>
  </si>
  <si>
    <t xml:space="preserve">All security policies and operational procedures identified in Requirement 9 are...</t>
  </si>
  <si>
    <t xml:space="preserve">EV-0176</t>
  </si>
  <si>
    <t xml:space="preserve">Roles and responsibilities for performing activities in Requirement 9 are docume...</t>
  </si>
  <si>
    <t xml:space="preserve">EV-0177</t>
  </si>
  <si>
    <t xml:space="preserve">EV-0178</t>
  </si>
  <si>
    <t xml:space="preserve">Appropriate facility entry controls are in place to restrict physical access to ...</t>
  </si>
  <si>
    <t xml:space="preserve">EV-0179</t>
  </si>
  <si>
    <t xml:space="preserve">Individual physical access to sensitive areas within the CDE is monitored with v...</t>
  </si>
  <si>
    <t xml:space="preserve">EV-0180</t>
  </si>
  <si>
    <t xml:space="preserve">Physical and/or logical controls restrict use of publicly accessible network jac...</t>
  </si>
  <si>
    <t xml:space="preserve">EV-0181</t>
  </si>
  <si>
    <t xml:space="preserve">Physical access to wireless access points, gateways, networking/communications h...</t>
  </si>
  <si>
    <t xml:space="preserve">EV-0182</t>
  </si>
  <si>
    <t xml:space="preserve">EV-0183</t>
  </si>
  <si>
    <t xml:space="preserve">EV-0184</t>
  </si>
  <si>
    <t xml:space="preserve">Procedures are implemented for authorizing and managing physical access of perso...</t>
  </si>
  <si>
    <t xml:space="preserve">EV-0185</t>
  </si>
  <si>
    <t xml:space="preserve">Physical access to sensitive areas within the CDE for personnel: authorized by j...</t>
  </si>
  <si>
    <t xml:space="preserve">EV-0186</t>
  </si>
  <si>
    <t xml:space="preserve">Procedures for authorizing and managing visitor access to the CDE: authorized be...</t>
  </si>
  <si>
    <t xml:space="preserve">EV-0187</t>
  </si>
  <si>
    <t xml:space="preserve">Visitor badges or identification are surrendered or deactivated before visitors ...</t>
  </si>
  <si>
    <t xml:space="preserve">EV-0188</t>
  </si>
  <si>
    <t xml:space="preserve">A visitor log is used to maintain a physical record of visitor activity includin...</t>
  </si>
  <si>
    <t xml:space="preserve">EV-0189</t>
  </si>
  <si>
    <t xml:space="preserve">Media with cardholder data is securely stored, accessed, distributed, and destro...</t>
  </si>
  <si>
    <t xml:space="preserve">EV-0190</t>
  </si>
  <si>
    <t xml:space="preserve">EV-0191</t>
  </si>
  <si>
    <t xml:space="preserve">EV-0192</t>
  </si>
  <si>
    <t xml:space="preserve">The security of the offline media backup location(s) with cardholder data is rev...</t>
  </si>
  <si>
    <t xml:space="preserve">EV-0193</t>
  </si>
  <si>
    <t xml:space="preserve">All media with cardholder data is classified in accordance with the sensitivity ...</t>
  </si>
  <si>
    <t xml:space="preserve">EV-0194</t>
  </si>
  <si>
    <t xml:space="preserve">Media with cardholder data sent outside the facility: logged; sent by secured co...</t>
  </si>
  <si>
    <t xml:space="preserve">EV-0195</t>
  </si>
  <si>
    <t xml:space="preserve">Management approves all media with cardholder data moved outside the facility (i...</t>
  </si>
  <si>
    <t xml:space="preserve">EV-0196</t>
  </si>
  <si>
    <t xml:space="preserve">EV-0197</t>
  </si>
  <si>
    <t xml:space="preserve">Inventories of electronic media with cardholder data are conducted at least once...</t>
  </si>
  <si>
    <t xml:space="preserve">EV-0198</t>
  </si>
  <si>
    <t xml:space="preserve">Hard-copy materials with cardholder data are destroyed when no longer needed: cr...</t>
  </si>
  <si>
    <t xml:space="preserve">EV-0199</t>
  </si>
  <si>
    <t xml:space="preserve">Electronic media with cardholder data is destroyed when no longer needed: physic...</t>
  </si>
  <si>
    <t xml:space="preserve">EV-0200</t>
  </si>
  <si>
    <t xml:space="preserve">Point-of-interaction (POI) devices are protected from tampering and unauthorized...</t>
  </si>
  <si>
    <t xml:space="preserve">EV-0201</t>
  </si>
  <si>
    <t xml:space="preserve">POI devices that capture payment card data via direct physical interaction are p...</t>
  </si>
  <si>
    <t xml:space="preserve">EV-0202</t>
  </si>
  <si>
    <t xml:space="preserve">An up-to-date list of POI devices is maintained including: make and model; locat...</t>
  </si>
  <si>
    <t xml:space="preserve">EV-0203</t>
  </si>
  <si>
    <t xml:space="preserve">POI device surfaces are periodically inspected to detect tampering and unauthori...</t>
  </si>
  <si>
    <t xml:space="preserve">EV-0204</t>
  </si>
  <si>
    <t xml:space="preserve">The frequency of periodic POI device inspections is defined in the entity's targ...</t>
  </si>
  <si>
    <t xml:space="preserve">EV-0205</t>
  </si>
  <si>
    <t xml:space="preserve">Training is provided for personnel in POI environments: verify identity of third...</t>
  </si>
  <si>
    <t xml:space="preserve">EV-0206</t>
  </si>
  <si>
    <t xml:space="preserve">Processes and mechanisms for logging and monitoring all access are defined and d...</t>
  </si>
  <si>
    <t xml:space="preserve">EV-0207</t>
  </si>
  <si>
    <t xml:space="preserve">All security policies and operational procedures identified in Requirement 10 ar...</t>
  </si>
  <si>
    <t xml:space="preserve">EV-0208</t>
  </si>
  <si>
    <t xml:space="preserve">Roles and responsibilities for performing activities in Requirement 10 are docum...</t>
  </si>
  <si>
    <t xml:space="preserve">EV-0209</t>
  </si>
  <si>
    <t xml:space="preserve">Audit logs are implemented to support detection of anomalies and forensic analys...</t>
  </si>
  <si>
    <t xml:space="preserve">EV-0210</t>
  </si>
  <si>
    <t xml:space="preserve">EV-0211</t>
  </si>
  <si>
    <t xml:space="preserve">EV-0212</t>
  </si>
  <si>
    <t xml:space="preserve">Audit logs capture all actions taken by any individual with administrative acces...</t>
  </si>
  <si>
    <t xml:space="preserve">EV-0213</t>
  </si>
  <si>
    <t xml:space="preserve">EV-0214</t>
  </si>
  <si>
    <t xml:space="preserve">EV-0215</t>
  </si>
  <si>
    <t xml:space="preserve">Audit logs capture all changes to identification and authentication credentials:...</t>
  </si>
  <si>
    <t xml:space="preserve">EV-0216</t>
  </si>
  <si>
    <t xml:space="preserve">Audit logs capture: all initialization of new audit logs; and all starting, stop...</t>
  </si>
  <si>
    <t xml:space="preserve">EV-0217</t>
  </si>
  <si>
    <t xml:space="preserve">EV-0218</t>
  </si>
  <si>
    <t xml:space="preserve">Audit logs record: user identification; event type; date and time; success/failu...</t>
  </si>
  <si>
    <t xml:space="preserve">EV-0219</t>
  </si>
  <si>
    <t xml:space="preserve">EV-0220</t>
  </si>
  <si>
    <t xml:space="preserve">EV-0221</t>
  </si>
  <si>
    <t xml:space="preserve">EV-0222</t>
  </si>
  <si>
    <t xml:space="preserve">Audit log files, including those for external-facing technologies, are promptly ...</t>
  </si>
  <si>
    <t xml:space="preserve">EV-0223</t>
  </si>
  <si>
    <t xml:space="preserve">File integrity monitoring or change-detection mechanisms are used on audit logs ...</t>
  </si>
  <si>
    <t xml:space="preserve">EV-0224</t>
  </si>
  <si>
    <t xml:space="preserve">EV-0225</t>
  </si>
  <si>
    <t xml:space="preserve">The following audit logs are reviewed at least once daily: all security events; ...</t>
  </si>
  <si>
    <t xml:space="preserve">EV-0226</t>
  </si>
  <si>
    <t xml:space="preserve">Automated mechanisms are used to perform audit log reviews. [BP until 31 Mar 202...</t>
  </si>
  <si>
    <t xml:space="preserve">EV-0227</t>
  </si>
  <si>
    <t xml:space="preserve">Logs of all other system components (not in Req 10.4.1) are reviewed periodicall...</t>
  </si>
  <si>
    <t xml:space="preserve">EV-0228</t>
  </si>
  <si>
    <t xml:space="preserve">The frequency of periodic log reviews for other system components is defined in ...</t>
  </si>
  <si>
    <t xml:space="preserve">EV-0229</t>
  </si>
  <si>
    <t xml:space="preserve">EV-0230</t>
  </si>
  <si>
    <t xml:space="preserve">EV-0231</t>
  </si>
  <si>
    <t xml:space="preserve">Retain audit log history for at least 12 months, with at least the most recent t...</t>
  </si>
  <si>
    <t xml:space="preserve">EV-0232</t>
  </si>
  <si>
    <t xml:space="preserve">Time-synchronization mechanisms support consistent time settings across all syst...</t>
  </si>
  <si>
    <t xml:space="preserve">EV-0233</t>
  </si>
  <si>
    <t xml:space="preserve">EV-0234</t>
  </si>
  <si>
    <t xml:space="preserve">Systems are configured to correct and consistent time: designated time server(s)...</t>
  </si>
  <si>
    <t xml:space="preserve">EV-0235</t>
  </si>
  <si>
    <t xml:space="preserve">Time synchronization settings and data are protected: access to time data restri...</t>
  </si>
  <si>
    <t xml:space="preserve">EV-0236</t>
  </si>
  <si>
    <t xml:space="preserve">Failures of critical security control systems are detected, reported, and respon...</t>
  </si>
  <si>
    <t xml:space="preserve">EV-0237</t>
  </si>
  <si>
    <t xml:space="preserve">Additional – service providers only: Failures of critical security controls (NSC...</t>
  </si>
  <si>
    <t xml:space="preserve">EV-0238</t>
  </si>
  <si>
    <t xml:space="preserve">Failures of critical security control systems are detected, alerted, and address...</t>
  </si>
  <si>
    <t xml:space="preserve">EV-0239</t>
  </si>
  <si>
    <t xml:space="preserve">Failures of critical security controls are responded to promptly: restore functi...</t>
  </si>
  <si>
    <t xml:space="preserve">EV-0240</t>
  </si>
  <si>
    <t xml:space="preserve">Processes and mechanisms for testing security of systems and networks are define...</t>
  </si>
  <si>
    <t xml:space="preserve">EV-0241</t>
  </si>
  <si>
    <t xml:space="preserve">All security policies and operational procedures identified in Requirement 11 ar...</t>
  </si>
  <si>
    <t xml:space="preserve">EV-0242</t>
  </si>
  <si>
    <t xml:space="preserve">Roles and responsibilities for performing activities in Requirement 11 are docum...</t>
  </si>
  <si>
    <t xml:space="preserve">EV-0243</t>
  </si>
  <si>
    <t xml:space="preserve">Wireless access points are identified and monitored, and unauthorized wireless a...</t>
  </si>
  <si>
    <t xml:space="preserve">EV-0244</t>
  </si>
  <si>
    <t xml:space="preserve">Authorized and unauthorized wireless access points are managed: tested for prese...</t>
  </si>
  <si>
    <t xml:space="preserve">EV-0245</t>
  </si>
  <si>
    <t xml:space="preserve">An inventory of authorized wireless access points is maintained, including a doc...</t>
  </si>
  <si>
    <t xml:space="preserve">EV-0246</t>
  </si>
  <si>
    <t xml:space="preserve">External and internal vulnerabilities are regularly identified, prioritized, and...</t>
  </si>
  <si>
    <t xml:space="preserve">EV-0247</t>
  </si>
  <si>
    <t xml:space="preserve">Internal vulnerability scans: at least every 3 months; high-risk/critical vulner...</t>
  </si>
  <si>
    <t xml:space="preserve">EV-0248</t>
  </si>
  <si>
    <t xml:space="preserve">All other applicable vulnerabilities (non-high/critical) are addressed based on ...</t>
  </si>
  <si>
    <t xml:space="preserve">EV-0249</t>
  </si>
  <si>
    <t xml:space="preserve">Internal vulnerability scans are performed via authenticated scanning with suffi...</t>
  </si>
  <si>
    <t xml:space="preserve">EV-0250</t>
  </si>
  <si>
    <t xml:space="preserve">Internal vulnerability scans performed after any significant change: high-risk/c...</t>
  </si>
  <si>
    <t xml:space="preserve">EV-0251</t>
  </si>
  <si>
    <t xml:space="preserve">External vulnerability scans: at least every 3 months; by PCI SSC Approved Scann...</t>
  </si>
  <si>
    <t xml:space="preserve">EV-0252</t>
  </si>
  <si>
    <t xml:space="preserve">External vulnerability scans performed after any significant change: CVSS ≥4.0 v...</t>
  </si>
  <si>
    <t xml:space="preserve">EV-0253</t>
  </si>
  <si>
    <t xml:space="preserve">External and internal penetration testing is regularly performed and exploitable...</t>
  </si>
  <si>
    <t xml:space="preserve">EV-0254</t>
  </si>
  <si>
    <t xml:space="preserve">A penetration testing methodology is defined, documented, and implemented includ...</t>
  </si>
  <si>
    <t xml:space="preserve">EV-0255</t>
  </si>
  <si>
    <t xml:space="preserve">Internal penetration testing: per defined methodology; at least every 12 months;...</t>
  </si>
  <si>
    <t xml:space="preserve">EV-0256</t>
  </si>
  <si>
    <t xml:space="preserve">External penetration testing: per defined methodology; at least every 12 months;...</t>
  </si>
  <si>
    <t xml:space="preserve">EV-0257</t>
  </si>
  <si>
    <t xml:space="preserve">Exploitable vulnerabilities and security weaknesses found during penetration tes...</t>
  </si>
  <si>
    <t xml:space="preserve">EV-0258</t>
  </si>
  <si>
    <t xml:space="preserve">If segmentation is used to isolate CDE, penetration tests on segmentation contro...</t>
  </si>
  <si>
    <t xml:space="preserve">EV-0259</t>
  </si>
  <si>
    <t xml:space="preserve">Additional – service providers only: Penetration tests on segmentation controls ...</t>
  </si>
  <si>
    <t xml:space="preserve">EV-0260</t>
  </si>
  <si>
    <t xml:space="preserve">Additional – multi-tenant cloud service providers only: Support customers for ex...</t>
  </si>
  <si>
    <t xml:space="preserve">EV-0261</t>
  </si>
  <si>
    <t xml:space="preserve">EV-0262</t>
  </si>
  <si>
    <t xml:space="preserve">Intrusion-detection/prevention techniques: monitor all traffic at CDE perimeter ...</t>
  </si>
  <si>
    <t xml:space="preserve">EV-0263</t>
  </si>
  <si>
    <t xml:space="preserve">Additional – service providers only: IDS/IPS detects, alerts on/prevents, and ad...</t>
  </si>
  <si>
    <t xml:space="preserve">EV-0264</t>
  </si>
  <si>
    <t xml:space="preserve">A change-detection mechanism (e.g. FIM tools): alerts personnel to unauthorized ...</t>
  </si>
  <si>
    <t xml:space="preserve">EV-0265</t>
  </si>
  <si>
    <t xml:space="preserve">EV-0266</t>
  </si>
  <si>
    <t xml:space="preserve">A change- and tamper-detection mechanism: alerts personnel to unauthorized modif...</t>
  </si>
  <si>
    <t xml:space="preserve">EV-0267</t>
  </si>
  <si>
    <t xml:space="preserve">A comprehensive information security policy is established, published, maintaine...</t>
  </si>
  <si>
    <t xml:space="preserve">EV-0268</t>
  </si>
  <si>
    <t xml:space="preserve">An overall information security policy is: Established; Published; Maintained; D...</t>
  </si>
  <si>
    <t xml:space="preserve">EV-0269</t>
  </si>
  <si>
    <t xml:space="preserve">The information security policy is: Reviewed at least every 12 months; Updated a...</t>
  </si>
  <si>
    <t xml:space="preserve">EV-0270</t>
  </si>
  <si>
    <t xml:space="preserve">The security policy clearly defines information security roles and responsibilit...</t>
  </si>
  <si>
    <t xml:space="preserve">EV-0271</t>
  </si>
  <si>
    <t xml:space="preserve">Responsibility for information security is formally assigned to a Chief Informat...</t>
  </si>
  <si>
    <t xml:space="preserve">EV-0272</t>
  </si>
  <si>
    <t xml:space="preserve">EV-0273</t>
  </si>
  <si>
    <t xml:space="preserve">Acceptable use policies for end-user technologies are documented and implemented...</t>
  </si>
  <si>
    <t xml:space="preserve">EV-0274</t>
  </si>
  <si>
    <t xml:space="preserve">EV-0275</t>
  </si>
  <si>
    <t xml:space="preserve">Each PCI DSS requirement that provides flexibility for how frequently it is perf...</t>
  </si>
  <si>
    <t xml:space="preserve">EV-0276</t>
  </si>
  <si>
    <t xml:space="preserve">A targeted risk analysis is performed for each PCI DSS requirement met with the ...</t>
  </si>
  <si>
    <t xml:space="preserve">EV-0277</t>
  </si>
  <si>
    <t xml:space="preserve">Cryptographic cipher suites and protocols in use are documented and reviewed at ...</t>
  </si>
  <si>
    <t xml:space="preserve">EV-0278</t>
  </si>
  <si>
    <t xml:space="preserve">Hardware and software technologies in use are reviewed at least every 12 months:...</t>
  </si>
  <si>
    <t xml:space="preserve">EV-0279</t>
  </si>
  <si>
    <t xml:space="preserve">EV-0280</t>
  </si>
  <si>
    <t xml:space="preserve">Additional – service providers only: Responsibility is established by executive ...</t>
  </si>
  <si>
    <t xml:space="preserve">EV-0281</t>
  </si>
  <si>
    <t xml:space="preserve">Additional – service providers only: Reviews at least every 3 months confirming ...</t>
  </si>
  <si>
    <t xml:space="preserve">EV-0282</t>
  </si>
  <si>
    <t xml:space="preserve">Additional – service providers only: Reviews per Req 12.4.2 are documented inclu...</t>
  </si>
  <si>
    <t xml:space="preserve">EV-0283</t>
  </si>
  <si>
    <t xml:space="preserve">EV-0284</t>
  </si>
  <si>
    <t xml:space="preserve">An inventory of system components in scope for PCI DSS, including a description ...</t>
  </si>
  <si>
    <t xml:space="preserve">EV-0285</t>
  </si>
  <si>
    <t xml:space="preserve">PCI DSS scope is documented and confirmed at least every 12 months and upon sign...</t>
  </si>
  <si>
    <t xml:space="preserve">EV-0286</t>
  </si>
  <si>
    <t xml:space="preserve">Additional – service providers only: PCI DSS scope confirmed at least every 6 mo...</t>
  </si>
  <si>
    <t xml:space="preserve">EV-0287</t>
  </si>
  <si>
    <t xml:space="preserve">Additional – service providers only: Significant changes to organizational struc...</t>
  </si>
  <si>
    <t xml:space="preserve">EV-0288</t>
  </si>
  <si>
    <t xml:space="preserve">EV-0289</t>
  </si>
  <si>
    <t xml:space="preserve">A formal security awareness program is implemented to make all personnel aware o...</t>
  </si>
  <si>
    <t xml:space="preserve">EV-0290</t>
  </si>
  <si>
    <t xml:space="preserve">The security awareness program is reviewed at least every 12 months and updated ...</t>
  </si>
  <si>
    <t xml:space="preserve">EV-0291</t>
  </si>
  <si>
    <t xml:space="preserve">Personnel receive security awareness training: upon hire and at least every 12 m...</t>
  </si>
  <si>
    <t xml:space="preserve">EV-0292</t>
  </si>
  <si>
    <t xml:space="preserve">Security awareness training includes awareness of threats: phishing and related ...</t>
  </si>
  <si>
    <t xml:space="preserve">EV-0293</t>
  </si>
  <si>
    <t xml:space="preserve">Security awareness training includes awareness about the acceptable use of end-u...</t>
  </si>
  <si>
    <t xml:space="preserve">EV-0294</t>
  </si>
  <si>
    <t xml:space="preserve">EV-0295</t>
  </si>
  <si>
    <t xml:space="preserve">Potential personnel who will have access to the CDE are screened prior to hire w...</t>
  </si>
  <si>
    <t xml:space="preserve">EV-0296</t>
  </si>
  <si>
    <t xml:space="preserve">Risk to information assets associated with third-party service provider (TPSP) r...</t>
  </si>
  <si>
    <t xml:space="preserve">EV-0297</t>
  </si>
  <si>
    <t xml:space="preserve">A list of all TPSPs with which account data is shared or that could affect secur...</t>
  </si>
  <si>
    <t xml:space="preserve">EV-0298</t>
  </si>
  <si>
    <t xml:space="preserve">Written agreements with TPSPs include acknowledgments that TPSPs are responsible...</t>
  </si>
  <si>
    <t xml:space="preserve">EV-0299</t>
  </si>
  <si>
    <t xml:space="preserve">An established process is implemented for engaging TPSPs, including proper due d...</t>
  </si>
  <si>
    <t xml:space="preserve">EV-0300</t>
  </si>
  <si>
    <t xml:space="preserve">A program is implemented to monitor TPSPs' PCI DSS compliance status at least on...</t>
  </si>
  <si>
    <t xml:space="preserve">EV-0301</t>
  </si>
  <si>
    <t xml:space="preserve">Information is maintained about which PCI DSS requirements are managed by each T...</t>
  </si>
  <si>
    <t xml:space="preserve">EV-0302</t>
  </si>
  <si>
    <t xml:space="preserve">EV-0303</t>
  </si>
  <si>
    <t xml:space="preserve">Additional – service providers only: TPSPs provide written agreements to custome...</t>
  </si>
  <si>
    <t xml:space="preserve">EV-0304</t>
  </si>
  <si>
    <t xml:space="preserve">Suspected and confirmed security incidents that could impact the CDE are respond...</t>
  </si>
  <si>
    <t xml:space="preserve">EV-0305</t>
  </si>
  <si>
    <t xml:space="preserve">An incident response plan is: created and implemented to be initiated in the eve...</t>
  </si>
  <si>
    <t xml:space="preserve">EV-0306</t>
  </si>
  <si>
    <t xml:space="preserve">At least once every 12 months, the security incident response plan is: tested; r...</t>
  </si>
  <si>
    <t xml:space="preserve">EV-0307</t>
  </si>
  <si>
    <t xml:space="preserve">Specific personnel are designated to be available 24×7 to respond to suspected o...</t>
  </si>
  <si>
    <t xml:space="preserve">EV-0308</t>
  </si>
  <si>
    <t xml:space="preserve">Personnel responsible for responding to suspected and confirmed security inciden...</t>
  </si>
  <si>
    <t xml:space="preserve">EV-0309</t>
  </si>
  <si>
    <t xml:space="preserve">The frequency of periodic training for incident response personnel is defined in...</t>
  </si>
  <si>
    <t xml:space="preserve">EV-0310</t>
  </si>
  <si>
    <t xml:space="preserve">The security incident response plan includes monitoring and responding to alerts...</t>
  </si>
  <si>
    <t xml:space="preserve">EV-0311</t>
  </si>
  <si>
    <t xml:space="preserve">The security incident response plan is modified and evolved according to lessons...</t>
  </si>
  <si>
    <t xml:space="preserve">EV-0312</t>
  </si>
  <si>
    <t xml:space="preserve">Incident response procedures are in place, to be initiated upon detection of sto...</t>
  </si>
  <si>
    <t xml:space="preserve">PCI DSS v4.0.1 — RISK REGISTER</t>
  </si>
  <si>
    <t xml:space="preserve">RISK ID</t>
  </si>
  <si>
    <t xml:space="preserve">CONTROL DESCRIPTION</t>
  </si>
  <si>
    <t xml:space="preserve">RISK DESCRIPTION</t>
  </si>
  <si>
    <t xml:space="preserve">THREAT SOURCE</t>
  </si>
  <si>
    <t xml:space="preserve">VULNERABILITY</t>
  </si>
  <si>
    <t xml:space="preserve">LIKELIHOOD (1-5)</t>
  </si>
  <si>
    <t xml:space="preserve">IMPACT (1-5)</t>
  </si>
  <si>
    <t xml:space="preserve">INHERENT RISK SCORE</t>
  </si>
  <si>
    <t xml:space="preserve">INHERENT RISK LEVEL</t>
  </si>
  <si>
    <t xml:space="preserve">EXISTING CONTROLS</t>
  </si>
  <si>
    <t xml:space="preserve">CONTROL EFFECTIVENESS</t>
  </si>
  <si>
    <t xml:space="preserve">RESIDUAL RISK SCORE</t>
  </si>
  <si>
    <t xml:space="preserve">RESIDUAL RISK LEVEL</t>
  </si>
  <si>
    <t xml:space="preserve">RISK TREATMENT</t>
  </si>
  <si>
    <t xml:space="preserve">TREATMENT DETAILS</t>
  </si>
  <si>
    <t xml:space="preserve">RISK OWNER</t>
  </si>
  <si>
    <t xml:space="preserve">RISK STATUS</t>
  </si>
  <si>
    <t xml:space="preserve">REVIEW DATE</t>
  </si>
  <si>
    <t xml:space="preserve">RSK-0001</t>
  </si>
  <si>
    <t xml:space="preserve">Processes and mechanisms for installing and maintaining network securi...</t>
  </si>
  <si>
    <t xml:space="preserve">Open</t>
  </si>
  <si>
    <t xml:space="preserve">RSK-0002</t>
  </si>
  <si>
    <t xml:space="preserve">All security policies and operational procedures that are identified i...</t>
  </si>
  <si>
    <t xml:space="preserve">RSK-0003</t>
  </si>
  <si>
    <t xml:space="preserve">Roles and responsibilities for performing activities in Requirement 1 ...</t>
  </si>
  <si>
    <t xml:space="preserve">RSK-0004</t>
  </si>
  <si>
    <t xml:space="preserve">RSK-0005</t>
  </si>
  <si>
    <t xml:space="preserve">Configuration standards for NSC rulesets are: Defined; Implemented; Ma...</t>
  </si>
  <si>
    <t xml:space="preserve">RSK-0006</t>
  </si>
  <si>
    <t xml:space="preserve">All changes to network connections and to configurations of NSCs are a...</t>
  </si>
  <si>
    <t xml:space="preserve">RSK-0007</t>
  </si>
  <si>
    <t xml:space="preserve">An accurate network diagram(s) is maintained that shows all connection...</t>
  </si>
  <si>
    <t xml:space="preserve">RSK-0008</t>
  </si>
  <si>
    <t xml:space="preserve">An accurate data-flow diagram(s) is maintained that shows all account ...</t>
  </si>
  <si>
    <t xml:space="preserve">RSK-0009</t>
  </si>
  <si>
    <t xml:space="preserve">All services, protocols and ports allowed are identified, approved, an...</t>
  </si>
  <si>
    <t xml:space="preserve">RSK-0010</t>
  </si>
  <si>
    <t xml:space="preserve">Security features are defined and implemented for all services, protoc...</t>
  </si>
  <si>
    <t xml:space="preserve">RSK-0011</t>
  </si>
  <si>
    <t xml:space="preserve">Configurations of NSCs are reviewed at least once every six months to ...</t>
  </si>
  <si>
    <t xml:space="preserve">RSK-0012</t>
  </si>
  <si>
    <t xml:space="preserve">Configuration files for NSCs are: Secured from unauthorized access; Ke...</t>
  </si>
  <si>
    <t xml:space="preserve">RSK-0013</t>
  </si>
  <si>
    <t xml:space="preserve">Network access to and from the cardholder data environment is restrict...</t>
  </si>
  <si>
    <t xml:space="preserve">RSK-0014</t>
  </si>
  <si>
    <t xml:space="preserve">Inbound traffic to the CDE is restricted to only traffic that is neces...</t>
  </si>
  <si>
    <t xml:space="preserve">RSK-0015</t>
  </si>
  <si>
    <t xml:space="preserve">Outbound traffic from the CDE is restricted to only traffic that is ne...</t>
  </si>
  <si>
    <t xml:space="preserve">RSK-0016</t>
  </si>
  <si>
    <t xml:space="preserve">NSCs are installed between all wireless networks and the CDE; all wire...</t>
  </si>
  <si>
    <t xml:space="preserve">RSK-0017</t>
  </si>
  <si>
    <t xml:space="preserve">Network connections between trusted and untrusted networks are control...</t>
  </si>
  <si>
    <t xml:space="preserve">RSK-0018</t>
  </si>
  <si>
    <t xml:space="preserve">RSK-0019</t>
  </si>
  <si>
    <t xml:space="preserve">Inbound traffic from untrusted networks to trusted networks is restric...</t>
  </si>
  <si>
    <t xml:space="preserve">RSK-0020</t>
  </si>
  <si>
    <t xml:space="preserve">Anti-spoofing measures are implemented to detect and block forged sour...</t>
  </si>
  <si>
    <t xml:space="preserve">RSK-0021</t>
  </si>
  <si>
    <t xml:space="preserve">System components that store cardholder data are not directly accessib...</t>
  </si>
  <si>
    <t xml:space="preserve">RSK-0022</t>
  </si>
  <si>
    <t xml:space="preserve">The disclosure of internal IP addresses and routing information is lim...</t>
  </si>
  <si>
    <t xml:space="preserve">RSK-0023</t>
  </si>
  <si>
    <t xml:space="preserve">Risks to the CDE from computing devices that are able to connect to bo...</t>
  </si>
  <si>
    <t xml:space="preserve">RSK-0024</t>
  </si>
  <si>
    <t xml:space="preserve">Security controls are implemented on any computing devices (company- a...</t>
  </si>
  <si>
    <t xml:space="preserve">RSK-0025</t>
  </si>
  <si>
    <t xml:space="preserve">Processes and mechanisms for applying secure configurations to all sys...</t>
  </si>
  <si>
    <t xml:space="preserve">RSK-0026</t>
  </si>
  <si>
    <t xml:space="preserve">RSK-0027</t>
  </si>
  <si>
    <t xml:space="preserve">Roles and responsibilities for performing activities in Requirement 2 ...</t>
  </si>
  <si>
    <t xml:space="preserve">RSK-0028</t>
  </si>
  <si>
    <t xml:space="preserve">RSK-0029</t>
  </si>
  <si>
    <t xml:space="preserve">Configuration standards are developed, implemented, and maintained to ...</t>
  </si>
  <si>
    <t xml:space="preserve">RSK-0030</t>
  </si>
  <si>
    <t xml:space="preserve">Vendor default accounts are managed: default passwords changed if used...</t>
  </si>
  <si>
    <t xml:space="preserve">RSK-0031</t>
  </si>
  <si>
    <t xml:space="preserve">Primary functions requiring different security levels are managed: iso...</t>
  </si>
  <si>
    <t xml:space="preserve">RSK-0032</t>
  </si>
  <si>
    <t xml:space="preserve">Only necessary services, protocols, daemons, and functions are enabled...</t>
  </si>
  <si>
    <t xml:space="preserve">RSK-0033</t>
  </si>
  <si>
    <t xml:space="preserve">If any insecure services, protocols, or daemons are present: business ...</t>
  </si>
  <si>
    <t xml:space="preserve">RSK-0034</t>
  </si>
  <si>
    <t xml:space="preserve">RSK-0035</t>
  </si>
  <si>
    <t xml:space="preserve">All non-console administrative access is encrypted using strong crypto...</t>
  </si>
  <si>
    <t xml:space="preserve">RSK-0036</t>
  </si>
  <si>
    <t xml:space="preserve">RSK-0037</t>
  </si>
  <si>
    <t xml:space="preserve">For wireless environments connected to CDE or transmitting account dat...</t>
  </si>
  <si>
    <t xml:space="preserve">RSK-0038</t>
  </si>
  <si>
    <t xml:space="preserve">RSK-0039</t>
  </si>
  <si>
    <t xml:space="preserve">Processes and mechanisms for protecting stored account data are define...</t>
  </si>
  <si>
    <t xml:space="preserve">RSK-0040</t>
  </si>
  <si>
    <t xml:space="preserve">RSK-0041</t>
  </si>
  <si>
    <t xml:space="preserve">Roles and responsibilities for performing activities in Requirement 3 ...</t>
  </si>
  <si>
    <t xml:space="preserve">RSK-0042</t>
  </si>
  <si>
    <t xml:space="preserve">RSK-0043</t>
  </si>
  <si>
    <t xml:space="preserve">Account data storage is minimized through data retention and disposal ...</t>
  </si>
  <si>
    <t xml:space="preserve">RSK-0044</t>
  </si>
  <si>
    <t xml:space="preserve">RSK-0045</t>
  </si>
  <si>
    <t xml:space="preserve">SAD is not retained after authorization, even if encrypted. All SAD re...</t>
  </si>
  <si>
    <t xml:space="preserve">RSK-0046</t>
  </si>
  <si>
    <t xml:space="preserve">The full contents of any track are not retained upon completion of the...</t>
  </si>
  <si>
    <t xml:space="preserve">RSK-0047</t>
  </si>
  <si>
    <t xml:space="preserve">The card verification code is not retained upon completion of the auth...</t>
  </si>
  <si>
    <t xml:space="preserve">RSK-0048</t>
  </si>
  <si>
    <t xml:space="preserve">The personal identification number (PIN) and the PIN block are not ret...</t>
  </si>
  <si>
    <t xml:space="preserve">RSK-0049</t>
  </si>
  <si>
    <t xml:space="preserve">SAD that is stored electronically prior to completion of authorization...</t>
  </si>
  <si>
    <t xml:space="preserve">RSK-0050</t>
  </si>
  <si>
    <t xml:space="preserve">Additional – issuers only: Any storage of SAD is limited to legitimate...</t>
  </si>
  <si>
    <t xml:space="preserve">RSK-0051</t>
  </si>
  <si>
    <t xml:space="preserve">Access to displays of full PAN and ability to copy account data is res...</t>
  </si>
  <si>
    <t xml:space="preserve">RSK-0052</t>
  </si>
  <si>
    <t xml:space="preserve">PAN is masked when displayed (BIN and last four digits maximum) such t...</t>
  </si>
  <si>
    <t xml:space="preserve">RSK-0053</t>
  </si>
  <si>
    <t xml:space="preserve">When using remote-access technologies, technical controls prevent copy...</t>
  </si>
  <si>
    <t xml:space="preserve">RSK-0054</t>
  </si>
  <si>
    <t xml:space="preserve">RSK-0055</t>
  </si>
  <si>
    <t xml:space="preserve">PAN is rendered unreadable anywhere it is stored using: one-way hashes...</t>
  </si>
  <si>
    <t xml:space="preserve">RSK-0056</t>
  </si>
  <si>
    <t xml:space="preserve">Hashes used to render PAN unreadable are keyed cryptographic hashes of...</t>
  </si>
  <si>
    <t xml:space="preserve">RSK-0057</t>
  </si>
  <si>
    <t xml:space="preserve">Disk/partition-level encryption to render PAN unreadable: only on remo...</t>
  </si>
  <si>
    <t xml:space="preserve">RSK-0058</t>
  </si>
  <si>
    <t xml:space="preserve">Disk/partition-level encryption is managed with logical access indepen...</t>
  </si>
  <si>
    <t xml:space="preserve">RSK-0059</t>
  </si>
  <si>
    <t xml:space="preserve">RSK-0060</t>
  </si>
  <si>
    <t xml:space="preserve">Procedures defined and implemented to protect cryptographic keys: acce...</t>
  </si>
  <si>
    <t xml:space="preserve">RSK-0061</t>
  </si>
  <si>
    <t xml:space="preserve">Additional – service providers only: Documented description of the cry...</t>
  </si>
  <si>
    <t xml:space="preserve">RSK-0062</t>
  </si>
  <si>
    <t xml:space="preserve">Secret and private keys used to protect stored account data are stored...</t>
  </si>
  <si>
    <t xml:space="preserve">RSK-0063</t>
  </si>
  <si>
    <t xml:space="preserve">Access to cleartext cryptographic key components is restricted to the ...</t>
  </si>
  <si>
    <t xml:space="preserve">RSK-0064</t>
  </si>
  <si>
    <t xml:space="preserve">RSK-0065</t>
  </si>
  <si>
    <t xml:space="preserve">Key management processes and procedures covering all aspects of the ke...</t>
  </si>
  <si>
    <t xml:space="preserve">RSK-0066</t>
  </si>
  <si>
    <t xml:space="preserve">Key-management policies and procedures for generation of strong crypto...</t>
  </si>
  <si>
    <t xml:space="preserve">RSK-0067</t>
  </si>
  <si>
    <t xml:space="preserve">Key-management policies and procedures for secure distribution of cryp...</t>
  </si>
  <si>
    <t xml:space="preserve">RSK-0068</t>
  </si>
  <si>
    <t xml:space="preserve">Key-management policies and procedures for secure storage of cryptogra...</t>
  </si>
  <si>
    <t xml:space="preserve">RSK-0069</t>
  </si>
  <si>
    <t xml:space="preserve">Key management policies and procedures for key changes at end of crypt...</t>
  </si>
  <si>
    <t xml:space="preserve">RSK-0070</t>
  </si>
  <si>
    <t xml:space="preserve">Key management policies for retirement, replacement, or destruction of...</t>
  </si>
  <si>
    <t xml:space="preserve">RSK-0071</t>
  </si>
  <si>
    <t xml:space="preserve">Where manual cleartext key-management operations are performed by pers...</t>
  </si>
  <si>
    <t xml:space="preserve">RSK-0072</t>
  </si>
  <si>
    <t xml:space="preserve">Key management policies include prevention of unauthorized substitutio...</t>
  </si>
  <si>
    <t xml:space="preserve">RSK-0073</t>
  </si>
  <si>
    <t xml:space="preserve">Cryptographic key custodians formally acknowledge (in writing or elect...</t>
  </si>
  <si>
    <t xml:space="preserve">RSK-0074</t>
  </si>
  <si>
    <t xml:space="preserve">Additional – service providers only: Guidance on secure transmission, ...</t>
  </si>
  <si>
    <t xml:space="preserve">RSK-0075</t>
  </si>
  <si>
    <t xml:space="preserve">Processes and mechanisms for protecting cardholder data during transmi...</t>
  </si>
  <si>
    <t xml:space="preserve">RSK-0076</t>
  </si>
  <si>
    <t xml:space="preserve">All security policies and operational procedures identified in Require...</t>
  </si>
  <si>
    <t xml:space="preserve">RSK-0077</t>
  </si>
  <si>
    <t xml:space="preserve">Roles and responsibilities for performing activities in Requirement 4 ...</t>
  </si>
  <si>
    <t xml:space="preserve">RSK-0078</t>
  </si>
  <si>
    <t xml:space="preserve">RSK-0079</t>
  </si>
  <si>
    <t xml:space="preserve">Strong cryptography and security protocols implemented for PAN transmi...</t>
  </si>
  <si>
    <t xml:space="preserve">RSK-0080</t>
  </si>
  <si>
    <t xml:space="preserve">An inventory of the entity's trusted keys and certificates is maintain...</t>
  </si>
  <si>
    <t xml:space="preserve">RSK-0081</t>
  </si>
  <si>
    <t xml:space="preserve">Wireless networks transmitting PAN or connected to the CDE use industr...</t>
  </si>
  <si>
    <t xml:space="preserve">RSK-0082</t>
  </si>
  <si>
    <t xml:space="preserve">PAN is secured with strong cryptography whenever it is sent via end-us...</t>
  </si>
  <si>
    <t xml:space="preserve">RSK-0083</t>
  </si>
  <si>
    <t xml:space="preserve">Processes and mechanisms for protecting all systems and networks from ...</t>
  </si>
  <si>
    <t xml:space="preserve">RSK-0084</t>
  </si>
  <si>
    <t xml:space="preserve">RSK-0085</t>
  </si>
  <si>
    <t xml:space="preserve">Roles and responsibilities for performing activities in Requirement 5 ...</t>
  </si>
  <si>
    <t xml:space="preserve">RSK-0086</t>
  </si>
  <si>
    <t xml:space="preserve">RSK-0087</t>
  </si>
  <si>
    <t xml:space="preserve">An anti-malware solution(s) is deployed on all system components, exce...</t>
  </si>
  <si>
    <t xml:space="preserve">RSK-0088</t>
  </si>
  <si>
    <t xml:space="preserve">The deployed anti-malware solution(s): detects all known types of malw...</t>
  </si>
  <si>
    <t xml:space="preserve">RSK-0089</t>
  </si>
  <si>
    <t xml:space="preserve">System components not at risk for malware are evaluated periodically w...</t>
  </si>
  <si>
    <t xml:space="preserve">RSK-0090</t>
  </si>
  <si>
    <t xml:space="preserve">The frequency of periodic evaluations of system components identified ...</t>
  </si>
  <si>
    <t xml:space="preserve">RSK-0091</t>
  </si>
  <si>
    <t xml:space="preserve">Anti-malware mechanisms and processes are active, maintained, and moni...</t>
  </si>
  <si>
    <t xml:space="preserve">RSK-0092</t>
  </si>
  <si>
    <t xml:space="preserve">RSK-0093</t>
  </si>
  <si>
    <t xml:space="preserve">The anti-malware solution(s): performs periodic scans and active/real-...</t>
  </si>
  <si>
    <t xml:space="preserve">RSK-0094</t>
  </si>
  <si>
    <t xml:space="preserve">If periodic malware scans are performed, the frequency is defined in t...</t>
  </si>
  <si>
    <t xml:space="preserve">RSK-0095</t>
  </si>
  <si>
    <t xml:space="preserve">For removable electronic media, the anti-malware solution performs aut...</t>
  </si>
  <si>
    <t xml:space="preserve">RSK-0096</t>
  </si>
  <si>
    <t xml:space="preserve">Audit logs for the anti-malware solution(s) are enabled and retained i...</t>
  </si>
  <si>
    <t xml:space="preserve">RSK-0097</t>
  </si>
  <si>
    <t xml:space="preserve">Anti-malware mechanisms cannot be disabled or altered by users, unless...</t>
  </si>
  <si>
    <t xml:space="preserve">RSK-0098</t>
  </si>
  <si>
    <t xml:space="preserve">RSK-0099</t>
  </si>
  <si>
    <t xml:space="preserve">Processes and automated mechanisms are in place to detect and protect ...</t>
  </si>
  <si>
    <t xml:space="preserve">RSK-0100</t>
  </si>
  <si>
    <t xml:space="preserve">Processes and mechanisms for developing and maintaining secure systems...</t>
  </si>
  <si>
    <t xml:space="preserve">RSK-0101</t>
  </si>
  <si>
    <t xml:space="preserve">RSK-0102</t>
  </si>
  <si>
    <t xml:space="preserve">Roles and responsibilities for performing activities in Requirement 6 ...</t>
  </si>
  <si>
    <t xml:space="preserve">RSK-0103</t>
  </si>
  <si>
    <t xml:space="preserve">RSK-0104</t>
  </si>
  <si>
    <t xml:space="preserve">Bespoke and custom software are developed securely: based on industry ...</t>
  </si>
  <si>
    <t xml:space="preserve">RSK-0105</t>
  </si>
  <si>
    <t xml:space="preserve">Software development personnel working on bespoke/custom software are ...</t>
  </si>
  <si>
    <t xml:space="preserve">RSK-0106</t>
  </si>
  <si>
    <t xml:space="preserve">Bespoke and custom software is reviewed prior to release to production...</t>
  </si>
  <si>
    <t xml:space="preserve">RSK-0107</t>
  </si>
  <si>
    <t xml:space="preserve">If manual code reviews are performed, code changes are reviewed by ind...</t>
  </si>
  <si>
    <t xml:space="preserve">RSK-0108</t>
  </si>
  <si>
    <t xml:space="preserve">Software engineering techniques defined and in use to prevent/mitigate...</t>
  </si>
  <si>
    <t xml:space="preserve">RSK-0109</t>
  </si>
  <si>
    <t xml:space="preserve">RSK-0110</t>
  </si>
  <si>
    <t xml:space="preserve">Security vulnerabilities are identified and managed: using industry-re...</t>
  </si>
  <si>
    <t xml:space="preserve">RSK-0111</t>
  </si>
  <si>
    <t xml:space="preserve">An inventory of bespoke/custom software and third-party software compo...</t>
  </si>
  <si>
    <t xml:space="preserve">RSK-0112</t>
  </si>
  <si>
    <t xml:space="preserve">All system components are protected from known vulnerabilities: critic...</t>
  </si>
  <si>
    <t xml:space="preserve">RSK-0113</t>
  </si>
  <si>
    <t xml:space="preserve">RSK-0114</t>
  </si>
  <si>
    <t xml:space="preserve">For public-facing web applications, new threats/vulnerabilities are ad...</t>
  </si>
  <si>
    <t xml:space="preserve">RSK-0115</t>
  </si>
  <si>
    <t xml:space="preserve">For public-facing web applications, an automated technical solution is...</t>
  </si>
  <si>
    <t xml:space="preserve">RSK-0116</t>
  </si>
  <si>
    <t xml:space="preserve">All payment page scripts loaded in the consumer browser are managed: a...</t>
  </si>
  <si>
    <t xml:space="preserve">RSK-0117</t>
  </si>
  <si>
    <t xml:space="preserve">RSK-0118</t>
  </si>
  <si>
    <t xml:space="preserve">Changes to all system components in production are made according to p...</t>
  </si>
  <si>
    <t xml:space="preserve">RSK-0119</t>
  </si>
  <si>
    <t xml:space="preserve">Upon completion of a significant change, all applicable PCI DSS requir...</t>
  </si>
  <si>
    <t xml:space="preserve">RSK-0120</t>
  </si>
  <si>
    <t xml:space="preserve">Pre-production environments are separated from production environments...</t>
  </si>
  <si>
    <t xml:space="preserve">RSK-0121</t>
  </si>
  <si>
    <t xml:space="preserve">Roles and functions are separated between production and pre-productio...</t>
  </si>
  <si>
    <t xml:space="preserve">RSK-0122</t>
  </si>
  <si>
    <t xml:space="preserve">Live PANs are not used in pre-production environments, except where th...</t>
  </si>
  <si>
    <t xml:space="preserve">RSK-0123</t>
  </si>
  <si>
    <t xml:space="preserve">Test data and test accounts are removed from system components before ...</t>
  </si>
  <si>
    <t xml:space="preserve">RSK-0124</t>
  </si>
  <si>
    <t xml:space="preserve">Processes and mechanisms for restricting access by business need to kn...</t>
  </si>
  <si>
    <t xml:space="preserve">RSK-0125</t>
  </si>
  <si>
    <t xml:space="preserve">RSK-0126</t>
  </si>
  <si>
    <t xml:space="preserve">Roles and responsibilities for performing activities in Requirement 7 ...</t>
  </si>
  <si>
    <t xml:space="preserve">RSK-0127</t>
  </si>
  <si>
    <t xml:space="preserve">Access to system components and data is appropriately defined and assi...</t>
  </si>
  <si>
    <t xml:space="preserve">RSK-0128</t>
  </si>
  <si>
    <t xml:space="preserve">An access control model is defined granting access based on business n...</t>
  </si>
  <si>
    <t xml:space="preserve">RSK-0129</t>
  </si>
  <si>
    <t xml:space="preserve">Access is assigned to users, including privileged users, based on job ...</t>
  </si>
  <si>
    <t xml:space="preserve">RSK-0130</t>
  </si>
  <si>
    <t xml:space="preserve">RSK-0131</t>
  </si>
  <si>
    <t xml:space="preserve">All user accounts and related access privileges, including third-party...</t>
  </si>
  <si>
    <t xml:space="preserve">RSK-0132</t>
  </si>
  <si>
    <t xml:space="preserve">All application and system accounts and related access privileges are ...</t>
  </si>
  <si>
    <t xml:space="preserve">RSK-0133</t>
  </si>
  <si>
    <t xml:space="preserve">All access by application/system accounts is reviewed periodically per...</t>
  </si>
  <si>
    <t xml:space="preserve">RSK-0134</t>
  </si>
  <si>
    <t xml:space="preserve">All user access to query repositories of stored cardholder data is res...</t>
  </si>
  <si>
    <t xml:space="preserve">RSK-0135</t>
  </si>
  <si>
    <t xml:space="preserve">Logical access to system components and data is managed via an access ...</t>
  </si>
  <si>
    <t xml:space="preserve">RSK-0136</t>
  </si>
  <si>
    <t xml:space="preserve">An access control system(s) is in place that restricts access based on...</t>
  </si>
  <si>
    <t xml:space="preserve">RSK-0137</t>
  </si>
  <si>
    <t xml:space="preserve">The access control system(s) is configured to enforce privileges assig...</t>
  </si>
  <si>
    <t xml:space="preserve">RSK-0138</t>
  </si>
  <si>
    <t xml:space="preserve">RSK-0139</t>
  </si>
  <si>
    <t xml:space="preserve">Processes and mechanisms for identifying users and authenticating acce...</t>
  </si>
  <si>
    <t xml:space="preserve">RSK-0140</t>
  </si>
  <si>
    <t xml:space="preserve">RSK-0141</t>
  </si>
  <si>
    <t xml:space="preserve">Roles and responsibilities for performing activities in Requirement 8 ...</t>
  </si>
  <si>
    <t xml:space="preserve">RSK-0142</t>
  </si>
  <si>
    <t xml:space="preserve">User identification and related accounts are strictly managed througho...</t>
  </si>
  <si>
    <t xml:space="preserve">RSK-0143</t>
  </si>
  <si>
    <t xml:space="preserve">All users are assigned a unique ID before access to system components ...</t>
  </si>
  <si>
    <t xml:space="preserve">RSK-0144</t>
  </si>
  <si>
    <t xml:space="preserve">Group, shared, or generic accounts are only used when necessary on an ...</t>
  </si>
  <si>
    <t xml:space="preserve">RSK-0145</t>
  </si>
  <si>
    <t xml:space="preserve">Additional – service providers only: Service providers with remote acc...</t>
  </si>
  <si>
    <t xml:space="preserve">RSK-0146</t>
  </si>
  <si>
    <t xml:space="preserve">Addition, deletion, and modification of user IDs and authentication fa...</t>
  </si>
  <si>
    <t xml:space="preserve">RSK-0147</t>
  </si>
  <si>
    <t xml:space="preserve">RSK-0148</t>
  </si>
  <si>
    <t xml:space="preserve">Inactive user accounts are removed or disabled within 90 days of inact...</t>
  </si>
  <si>
    <t xml:space="preserve">RSK-0149</t>
  </si>
  <si>
    <t xml:space="preserve">Accounts used by third parties via remote access: enabled only during ...</t>
  </si>
  <si>
    <t xml:space="preserve">RSK-0150</t>
  </si>
  <si>
    <t xml:space="preserve">If a user session has been idle for more than 15 minutes, the user is ...</t>
  </si>
  <si>
    <t xml:space="preserve">RSK-0151</t>
  </si>
  <si>
    <t xml:space="preserve">Strong authentication for users and administrators is established and ...</t>
  </si>
  <si>
    <t xml:space="preserve">RSK-0152</t>
  </si>
  <si>
    <t xml:space="preserve">All user access to system components is authenticated via at least one...</t>
  </si>
  <si>
    <t xml:space="preserve">RSK-0153</t>
  </si>
  <si>
    <t xml:space="preserve">Strong cryptography is used to render all authentication factors unrea...</t>
  </si>
  <si>
    <t xml:space="preserve">RSK-0154</t>
  </si>
  <si>
    <t xml:space="preserve">RSK-0155</t>
  </si>
  <si>
    <t xml:space="preserve">Invalid authentication attempts are limited: account locked after ≤10 ...</t>
  </si>
  <si>
    <t xml:space="preserve">RSK-0156</t>
  </si>
  <si>
    <t xml:space="preserve">Passwords/passphrases used as authentication factors are set to a uniq...</t>
  </si>
  <si>
    <t xml:space="preserve">RSK-0157</t>
  </si>
  <si>
    <t xml:space="preserve">Passwords/passphrases meet minimum complexity: ≥12 characters (or ≥8 i...</t>
  </si>
  <si>
    <t xml:space="preserve">RSK-0158</t>
  </si>
  <si>
    <t xml:space="preserve">Individuals are not allowed to submit a new password/passphrase that i...</t>
  </si>
  <si>
    <t xml:space="preserve">RSK-0159</t>
  </si>
  <si>
    <t xml:space="preserve">Authentication policies and procedures are documented and communicated...</t>
  </si>
  <si>
    <t xml:space="preserve">RSK-0160</t>
  </si>
  <si>
    <t xml:space="preserve">If passwords are the only authentication factor: changed at least ever...</t>
  </si>
  <si>
    <t xml:space="preserve">RSK-0161</t>
  </si>
  <si>
    <t xml:space="preserve">Additional – service providers only: If passwords are the only auth fa...</t>
  </si>
  <si>
    <t xml:space="preserve">RSK-0162</t>
  </si>
  <si>
    <t xml:space="preserve">Additional – service providers only: Customer user passwords changed a...</t>
  </si>
  <si>
    <t xml:space="preserve">RSK-0163</t>
  </si>
  <si>
    <t xml:space="preserve">Where physical/logical security tokens, smart cards, or certificates a...</t>
  </si>
  <si>
    <t xml:space="preserve">RSK-0164</t>
  </si>
  <si>
    <t xml:space="preserve">Multi-factor authentication (MFA) systems are configured to prevent mi...</t>
  </si>
  <si>
    <t xml:space="preserve">RSK-0165</t>
  </si>
  <si>
    <t xml:space="preserve">MFA is implemented for all non-console access into the CDE for personn...</t>
  </si>
  <si>
    <t xml:space="preserve">RSK-0166</t>
  </si>
  <si>
    <t xml:space="preserve">MFA is implemented for all non-console access into the CDE. [BP until ...</t>
  </si>
  <si>
    <t xml:space="preserve">RSK-0167</t>
  </si>
  <si>
    <t xml:space="preserve">MFA is implemented for all remote network access originating from outs...</t>
  </si>
  <si>
    <t xml:space="preserve">RSK-0168</t>
  </si>
  <si>
    <t xml:space="preserve">Multi-factor authentication is implemented to secure access to the CDE...</t>
  </si>
  <si>
    <t xml:space="preserve">RSK-0169</t>
  </si>
  <si>
    <t xml:space="preserve">MFA systems: not susceptible to replay attacks; cannot be bypassed (in...</t>
  </si>
  <si>
    <t xml:space="preserve">RSK-0170</t>
  </si>
  <si>
    <t xml:space="preserve">Use of application and system accounts and associated authentication f...</t>
  </si>
  <si>
    <t xml:space="preserve">RSK-0171</t>
  </si>
  <si>
    <t xml:space="preserve">If accounts used by systems/applications can be used for interactive l...</t>
  </si>
  <si>
    <t xml:space="preserve">RSK-0172</t>
  </si>
  <si>
    <t xml:space="preserve">Passwords/passphrases for application/system accounts that can be used...</t>
  </si>
  <si>
    <t xml:space="preserve">RSK-0173</t>
  </si>
  <si>
    <t xml:space="preserve">Passwords/passphrases for application/system accounts are changed peri...</t>
  </si>
  <si>
    <t xml:space="preserve">RSK-0174</t>
  </si>
  <si>
    <t xml:space="preserve">Processes and mechanisms for restricting physical access to cardholder...</t>
  </si>
  <si>
    <t xml:space="preserve">RSK-0175</t>
  </si>
  <si>
    <t xml:space="preserve">RSK-0176</t>
  </si>
  <si>
    <t xml:space="preserve">Roles and responsibilities for performing activities in Requirement 9 ...</t>
  </si>
  <si>
    <t xml:space="preserve">RSK-0177</t>
  </si>
  <si>
    <t xml:space="preserve">Physical access controls manage entry into the cardholder data environ...</t>
  </si>
  <si>
    <t xml:space="preserve">RSK-0178</t>
  </si>
  <si>
    <t xml:space="preserve">Appropriate facility entry controls are in place to restrict physical ...</t>
  </si>
  <si>
    <t xml:space="preserve">RSK-0179</t>
  </si>
  <si>
    <t xml:space="preserve">Individual physical access to sensitive areas within the CDE is monito...</t>
  </si>
  <si>
    <t xml:space="preserve">RSK-0180</t>
  </si>
  <si>
    <t xml:space="preserve">Physical and/or logical controls restrict use of publicly accessible n...</t>
  </si>
  <si>
    <t xml:space="preserve">RSK-0181</t>
  </si>
  <si>
    <t xml:space="preserve">Physical access to wireless access points, gateways, networking/commun...</t>
  </si>
  <si>
    <t xml:space="preserve">RSK-0182</t>
  </si>
  <si>
    <t xml:space="preserve">Access to consoles in sensitive areas is restricted via locking when n...</t>
  </si>
  <si>
    <t xml:space="preserve">RSK-0183</t>
  </si>
  <si>
    <t xml:space="preserve">Physical access to the CDE for personnel and visitors is authorized an...</t>
  </si>
  <si>
    <t xml:space="preserve">RSK-0184</t>
  </si>
  <si>
    <t xml:space="preserve">Procedures are implemented for authorizing and managing physical acces...</t>
  </si>
  <si>
    <t xml:space="preserve">RSK-0185</t>
  </si>
  <si>
    <t xml:space="preserve">Physical access to sensitive areas within the CDE for personnel: autho...</t>
  </si>
  <si>
    <t xml:space="preserve">RSK-0186</t>
  </si>
  <si>
    <t xml:space="preserve">Procedures for authorizing and managing visitor access to the CDE: aut...</t>
  </si>
  <si>
    <t xml:space="preserve">RSK-0187</t>
  </si>
  <si>
    <t xml:space="preserve">Visitor badges or identification are surrendered or deactivated before...</t>
  </si>
  <si>
    <t xml:space="preserve">RSK-0188</t>
  </si>
  <si>
    <t xml:space="preserve">A visitor log is used to maintain a physical record of visitor activit...</t>
  </si>
  <si>
    <t xml:space="preserve">RSK-0189</t>
  </si>
  <si>
    <t xml:space="preserve">Media with cardholder data is securely stored, accessed, distributed, ...</t>
  </si>
  <si>
    <t xml:space="preserve">RSK-0190</t>
  </si>
  <si>
    <t xml:space="preserve">RSK-0191</t>
  </si>
  <si>
    <t xml:space="preserve">Offline media backups with cardholder data are stored in a secure loca...</t>
  </si>
  <si>
    <t xml:space="preserve">RSK-0192</t>
  </si>
  <si>
    <t xml:space="preserve">The security of the offline media backup location(s) with cardholder d...</t>
  </si>
  <si>
    <t xml:space="preserve">RSK-0193</t>
  </si>
  <si>
    <t xml:space="preserve">All media with cardholder data is classified in accordance with the se...</t>
  </si>
  <si>
    <t xml:space="preserve">RSK-0194</t>
  </si>
  <si>
    <t xml:space="preserve">Media with cardholder data sent outside the facility: logged; sent by ...</t>
  </si>
  <si>
    <t xml:space="preserve">RSK-0195</t>
  </si>
  <si>
    <t xml:space="preserve">Management approves all media with cardholder data moved outside the f...</t>
  </si>
  <si>
    <t xml:space="preserve">RSK-0196</t>
  </si>
  <si>
    <t xml:space="preserve">Inventory logs of all electronic media with cardholder data are mainta...</t>
  </si>
  <si>
    <t xml:space="preserve">RSK-0197</t>
  </si>
  <si>
    <t xml:space="preserve">Inventories of electronic media with cardholder data are conducted at ...</t>
  </si>
  <si>
    <t xml:space="preserve">RSK-0198</t>
  </si>
  <si>
    <t xml:space="preserve">Hard-copy materials with cardholder data are destroyed when no longer ...</t>
  </si>
  <si>
    <t xml:space="preserve">RSK-0199</t>
  </si>
  <si>
    <t xml:space="preserve">Electronic media with cardholder data is destroyed when no longer need...</t>
  </si>
  <si>
    <t xml:space="preserve">RSK-0200</t>
  </si>
  <si>
    <t xml:space="preserve">Point-of-interaction (POI) devices are protected from tampering and un...</t>
  </si>
  <si>
    <t xml:space="preserve">RSK-0201</t>
  </si>
  <si>
    <t xml:space="preserve">POI devices that capture payment card data via direct physical interac...</t>
  </si>
  <si>
    <t xml:space="preserve">RSK-0202</t>
  </si>
  <si>
    <t xml:space="preserve">An up-to-date list of POI devices is maintained including: make and mo...</t>
  </si>
  <si>
    <t xml:space="preserve">RSK-0203</t>
  </si>
  <si>
    <t xml:space="preserve">POI device surfaces are periodically inspected to detect tampering and...</t>
  </si>
  <si>
    <t xml:space="preserve">RSK-0204</t>
  </si>
  <si>
    <t xml:space="preserve">The frequency of periodic POI device inspections is defined in the ent...</t>
  </si>
  <si>
    <t xml:space="preserve">RSK-0205</t>
  </si>
  <si>
    <t xml:space="preserve">Training is provided for personnel in POI environments: verify identit...</t>
  </si>
  <si>
    <t xml:space="preserve">RSK-0206</t>
  </si>
  <si>
    <t xml:space="preserve">Processes and mechanisms for logging and monitoring all access are def...</t>
  </si>
  <si>
    <t xml:space="preserve">RSK-0207</t>
  </si>
  <si>
    <t xml:space="preserve">RSK-0208</t>
  </si>
  <si>
    <t xml:space="preserve">Roles and responsibilities for performing activities in Requirement 10...</t>
  </si>
  <si>
    <t xml:space="preserve">RSK-0209</t>
  </si>
  <si>
    <t xml:space="preserve">Audit logs are implemented to support detection of anomalies and foren...</t>
  </si>
  <si>
    <t xml:space="preserve">RSK-0210</t>
  </si>
  <si>
    <t xml:space="preserve">Audit logs are enabled and active for all system components and cardho...</t>
  </si>
  <si>
    <t xml:space="preserve">RSK-0211</t>
  </si>
  <si>
    <t xml:space="preserve">RSK-0212</t>
  </si>
  <si>
    <t xml:space="preserve">Audit logs capture all actions taken by any individual with administra...</t>
  </si>
  <si>
    <t xml:space="preserve">RSK-0213</t>
  </si>
  <si>
    <t xml:space="preserve">RSK-0214</t>
  </si>
  <si>
    <t xml:space="preserve">RSK-0215</t>
  </si>
  <si>
    <t xml:space="preserve">Audit logs capture all changes to identification and authentication cr...</t>
  </si>
  <si>
    <t xml:space="preserve">RSK-0216</t>
  </si>
  <si>
    <t xml:space="preserve">Audit logs capture: all initialization of new audit logs; and all star...</t>
  </si>
  <si>
    <t xml:space="preserve">RSK-0217</t>
  </si>
  <si>
    <t xml:space="preserve">RSK-0218</t>
  </si>
  <si>
    <t xml:space="preserve">Audit logs record: user identification; event type; date and time; suc...</t>
  </si>
  <si>
    <t xml:space="preserve">RSK-0219</t>
  </si>
  <si>
    <t xml:space="preserve">Audit logs are protected from destruction and unauthorized modificatio...</t>
  </si>
  <si>
    <t xml:space="preserve">RSK-0220</t>
  </si>
  <si>
    <t xml:space="preserve">Read access to audit log files is limited to those with a job-related ...</t>
  </si>
  <si>
    <t xml:space="preserve">RSK-0221</t>
  </si>
  <si>
    <t xml:space="preserve">RSK-0222</t>
  </si>
  <si>
    <t xml:space="preserve">Audit log files, including those for external-facing technologies, are...</t>
  </si>
  <si>
    <t xml:space="preserve">RSK-0223</t>
  </si>
  <si>
    <t xml:space="preserve">File integrity monitoring or change-detection mechanisms are used on a...</t>
  </si>
  <si>
    <t xml:space="preserve">RSK-0224</t>
  </si>
  <si>
    <t xml:space="preserve">RSK-0225</t>
  </si>
  <si>
    <t xml:space="preserve">The following audit logs are reviewed at least once daily: all securit...</t>
  </si>
  <si>
    <t xml:space="preserve">RSK-0226</t>
  </si>
  <si>
    <t xml:space="preserve">Automated mechanisms are used to perform audit log reviews. [BP until ...</t>
  </si>
  <si>
    <t xml:space="preserve">RSK-0227</t>
  </si>
  <si>
    <t xml:space="preserve">Logs of all other system components (not in Req 10.4.1) are reviewed p...</t>
  </si>
  <si>
    <t xml:space="preserve">RSK-0228</t>
  </si>
  <si>
    <t xml:space="preserve">The frequency of periodic log reviews for other system components is d...</t>
  </si>
  <si>
    <t xml:space="preserve">RSK-0229</t>
  </si>
  <si>
    <t xml:space="preserve">Exceptions and anomalies identified during the review process are addr...</t>
  </si>
  <si>
    <t xml:space="preserve">RSK-0230</t>
  </si>
  <si>
    <t xml:space="preserve">RSK-0231</t>
  </si>
  <si>
    <t xml:space="preserve">Retain audit log history for at least 12 months, with at least the mos...</t>
  </si>
  <si>
    <t xml:space="preserve">RSK-0232</t>
  </si>
  <si>
    <t xml:space="preserve">Time-synchronization mechanisms support consistent time settings acros...</t>
  </si>
  <si>
    <t xml:space="preserve">RSK-0233</t>
  </si>
  <si>
    <t xml:space="preserve">System clocks and time are synchronized using time-synchronization tec...</t>
  </si>
  <si>
    <t xml:space="preserve">RSK-0234</t>
  </si>
  <si>
    <t xml:space="preserve">Systems are configured to correct and consistent time: designated time...</t>
  </si>
  <si>
    <t xml:space="preserve">RSK-0235</t>
  </si>
  <si>
    <t xml:space="preserve">Time synchronization settings and data are protected: access to time d...</t>
  </si>
  <si>
    <t xml:space="preserve">RSK-0236</t>
  </si>
  <si>
    <t xml:space="preserve">Failures of critical security control systems are detected, reported, ...</t>
  </si>
  <si>
    <t xml:space="preserve">RSK-0237</t>
  </si>
  <si>
    <t xml:space="preserve">Additional – service providers only: Failures of critical security con...</t>
  </si>
  <si>
    <t xml:space="preserve">RSK-0238</t>
  </si>
  <si>
    <t xml:space="preserve">Failures of critical security control systems are detected, alerted, a...</t>
  </si>
  <si>
    <t xml:space="preserve">RSK-0239</t>
  </si>
  <si>
    <t xml:space="preserve">Failures of critical security controls are responded to promptly: rest...</t>
  </si>
  <si>
    <t xml:space="preserve">RSK-0240</t>
  </si>
  <si>
    <t xml:space="preserve">Processes and mechanisms for testing security of systems and networks ...</t>
  </si>
  <si>
    <t xml:space="preserve">RSK-0241</t>
  </si>
  <si>
    <t xml:space="preserve">RSK-0242</t>
  </si>
  <si>
    <t xml:space="preserve">Roles and responsibilities for performing activities in Requirement 11...</t>
  </si>
  <si>
    <t xml:space="preserve">RSK-0243</t>
  </si>
  <si>
    <t xml:space="preserve">Wireless access points are identified and monitored, and unauthorized ...</t>
  </si>
  <si>
    <t xml:space="preserve">RSK-0244</t>
  </si>
  <si>
    <t xml:space="preserve">Authorized and unauthorized wireless access points are managed: tested...</t>
  </si>
  <si>
    <t xml:space="preserve">RSK-0245</t>
  </si>
  <si>
    <t xml:space="preserve">An inventory of authorized wireless access points is maintained, inclu...</t>
  </si>
  <si>
    <t xml:space="preserve">RSK-0246</t>
  </si>
  <si>
    <t xml:space="preserve">External and internal vulnerabilities are regularly identified, priori...</t>
  </si>
  <si>
    <t xml:space="preserve">RSK-0247</t>
  </si>
  <si>
    <t xml:space="preserve">Internal vulnerability scans: at least every 3 months; high-risk/criti...</t>
  </si>
  <si>
    <t xml:space="preserve">RSK-0248</t>
  </si>
  <si>
    <t xml:space="preserve">All other applicable vulnerabilities (non-high/critical) are addressed...</t>
  </si>
  <si>
    <t xml:space="preserve">RSK-0249</t>
  </si>
  <si>
    <t xml:space="preserve">Internal vulnerability scans are performed via authenticated scanning ...</t>
  </si>
  <si>
    <t xml:space="preserve">RSK-0250</t>
  </si>
  <si>
    <t xml:space="preserve">Internal vulnerability scans performed after any significant change: h...</t>
  </si>
  <si>
    <t xml:space="preserve">RSK-0251</t>
  </si>
  <si>
    <t xml:space="preserve">External vulnerability scans: at least every 3 months; by PCI SSC Appr...</t>
  </si>
  <si>
    <t xml:space="preserve">RSK-0252</t>
  </si>
  <si>
    <t xml:space="preserve">External vulnerability scans performed after any significant change: C...</t>
  </si>
  <si>
    <t xml:space="preserve">RSK-0253</t>
  </si>
  <si>
    <t xml:space="preserve">External and internal penetration testing is regularly performed and e...</t>
  </si>
  <si>
    <t xml:space="preserve">RSK-0254</t>
  </si>
  <si>
    <t xml:space="preserve">A penetration testing methodology is defined, documented, and implemen...</t>
  </si>
  <si>
    <t xml:space="preserve">RSK-0255</t>
  </si>
  <si>
    <t xml:space="preserve">Internal penetration testing: per defined methodology; at least every ...</t>
  </si>
  <si>
    <t xml:space="preserve">RSK-0256</t>
  </si>
  <si>
    <t xml:space="preserve">External penetration testing: per defined methodology; at least every ...</t>
  </si>
  <si>
    <t xml:space="preserve">RSK-0257</t>
  </si>
  <si>
    <t xml:space="preserve">Exploitable vulnerabilities and security weaknesses found during penet...</t>
  </si>
  <si>
    <t xml:space="preserve">RSK-0258</t>
  </si>
  <si>
    <t xml:space="preserve">If segmentation is used to isolate CDE, penetration tests on segmentat...</t>
  </si>
  <si>
    <t xml:space="preserve">RSK-0259</t>
  </si>
  <si>
    <t xml:space="preserve">Additional – service providers only: Penetration tests on segmentation...</t>
  </si>
  <si>
    <t xml:space="preserve">RSK-0260</t>
  </si>
  <si>
    <t xml:space="preserve">Additional – multi-tenant cloud service providers only: Support custom...</t>
  </si>
  <si>
    <t xml:space="preserve">RSK-0261</t>
  </si>
  <si>
    <t xml:space="preserve">Network intrusions and unexpected file changes are detected and respon...</t>
  </si>
  <si>
    <t xml:space="preserve">RSK-0262</t>
  </si>
  <si>
    <t xml:space="preserve">Intrusion-detection/prevention techniques: monitor all traffic at CDE ...</t>
  </si>
  <si>
    <t xml:space="preserve">RSK-0263</t>
  </si>
  <si>
    <t xml:space="preserve">Additional – service providers only: IDS/IPS detects, alerts on/preven...</t>
  </si>
  <si>
    <t xml:space="preserve">RSK-0264</t>
  </si>
  <si>
    <t xml:space="preserve">A change-detection mechanism (e.g. FIM tools): alerts personnel to una...</t>
  </si>
  <si>
    <t xml:space="preserve">RSK-0265</t>
  </si>
  <si>
    <t xml:space="preserve">RSK-0266</t>
  </si>
  <si>
    <t xml:space="preserve">A change- and tamper-detection mechanism: alerts personnel to unauthor...</t>
  </si>
  <si>
    <t xml:space="preserve">RSK-0267</t>
  </si>
  <si>
    <t xml:space="preserve">A comprehensive information security policy is established, published,...</t>
  </si>
  <si>
    <t xml:space="preserve">RSK-0268</t>
  </si>
  <si>
    <t xml:space="preserve">An overall information security policy is: Established; Published; Mai...</t>
  </si>
  <si>
    <t xml:space="preserve">RSK-0269</t>
  </si>
  <si>
    <t xml:space="preserve">The information security policy is: Reviewed at least every 12 months;...</t>
  </si>
  <si>
    <t xml:space="preserve">RSK-0270</t>
  </si>
  <si>
    <t xml:space="preserve">The security policy clearly defines information security roles and res...</t>
  </si>
  <si>
    <t xml:space="preserve">RSK-0271</t>
  </si>
  <si>
    <t xml:space="preserve">Responsibility for information security is formally assigned to a Chie...</t>
  </si>
  <si>
    <t xml:space="preserve">RSK-0272</t>
  </si>
  <si>
    <t xml:space="preserve">Acceptable use policies for end-user technologies are defined and impl...</t>
  </si>
  <si>
    <t xml:space="preserve">RSK-0273</t>
  </si>
  <si>
    <t xml:space="preserve">Acceptable use policies for end-user technologies are documented and i...</t>
  </si>
  <si>
    <t xml:space="preserve">RSK-0274</t>
  </si>
  <si>
    <t xml:space="preserve">Targeted risks to the CDE are formally identified, evaluated, and mana...</t>
  </si>
  <si>
    <t xml:space="preserve">RSK-0275</t>
  </si>
  <si>
    <t xml:space="preserve">Each PCI DSS requirement that provides flexibility for how frequently ...</t>
  </si>
  <si>
    <t xml:space="preserve">RSK-0276</t>
  </si>
  <si>
    <t xml:space="preserve">A targeted risk analysis is performed for each PCI DSS requirement met...</t>
  </si>
  <si>
    <t xml:space="preserve">RSK-0277</t>
  </si>
  <si>
    <t xml:space="preserve">Cryptographic cipher suites and protocols in use are documented and re...</t>
  </si>
  <si>
    <t xml:space="preserve">RSK-0278</t>
  </si>
  <si>
    <t xml:space="preserve">Hardware and software technologies in use are reviewed at least every ...</t>
  </si>
  <si>
    <t xml:space="preserve">RSK-0279</t>
  </si>
  <si>
    <t xml:space="preserve">RSK-0280</t>
  </si>
  <si>
    <t xml:space="preserve">Additional – service providers only: Responsibility is established by ...</t>
  </si>
  <si>
    <t xml:space="preserve">RSK-0281</t>
  </si>
  <si>
    <t xml:space="preserve">Additional – service providers only: Reviews at least every 3 months c...</t>
  </si>
  <si>
    <t xml:space="preserve">RSK-0282</t>
  </si>
  <si>
    <t xml:space="preserve">Additional – service providers only: Reviews per Req 12.4.2 are docume...</t>
  </si>
  <si>
    <t xml:space="preserve">RSK-0283</t>
  </si>
  <si>
    <t xml:space="preserve">RSK-0284</t>
  </si>
  <si>
    <t xml:space="preserve">An inventory of system components in scope for PCI DSS, including a de...</t>
  </si>
  <si>
    <t xml:space="preserve">RSK-0285</t>
  </si>
  <si>
    <t xml:space="preserve">PCI DSS scope is documented and confirmed at least every 12 months and...</t>
  </si>
  <si>
    <t xml:space="preserve">RSK-0286</t>
  </si>
  <si>
    <t xml:space="preserve">Additional – service providers only: PCI DSS scope confirmed at least ...</t>
  </si>
  <si>
    <t xml:space="preserve">RSK-0287</t>
  </si>
  <si>
    <t xml:space="preserve">Additional – service providers only: Significant changes to organizati...</t>
  </si>
  <si>
    <t xml:space="preserve">RSK-0288</t>
  </si>
  <si>
    <t xml:space="preserve">RSK-0289</t>
  </si>
  <si>
    <t xml:space="preserve">A formal security awareness program is implemented to make all personn...</t>
  </si>
  <si>
    <t xml:space="preserve">RSK-0290</t>
  </si>
  <si>
    <t xml:space="preserve">The security awareness program is reviewed at least every 12 months an...</t>
  </si>
  <si>
    <t xml:space="preserve">RSK-0291</t>
  </si>
  <si>
    <t xml:space="preserve">Personnel receive security awareness training: upon hire and at least ...</t>
  </si>
  <si>
    <t xml:space="preserve">RSK-0292</t>
  </si>
  <si>
    <t xml:space="preserve">Security awareness training includes awareness of threats: phishing an...</t>
  </si>
  <si>
    <t xml:space="preserve">RSK-0293</t>
  </si>
  <si>
    <t xml:space="preserve">Security awareness training includes awareness about the acceptable us...</t>
  </si>
  <si>
    <t xml:space="preserve">RSK-0294</t>
  </si>
  <si>
    <t xml:space="preserve">RSK-0295</t>
  </si>
  <si>
    <t xml:space="preserve">Potential personnel who will have access to the CDE are screened prior...</t>
  </si>
  <si>
    <t xml:space="preserve">RSK-0296</t>
  </si>
  <si>
    <t xml:space="preserve">Risk to information assets associated with third-party service provide...</t>
  </si>
  <si>
    <t xml:space="preserve">RSK-0297</t>
  </si>
  <si>
    <t xml:space="preserve">A list of all TPSPs with which account data is shared or that could af...</t>
  </si>
  <si>
    <t xml:space="preserve">RSK-0298</t>
  </si>
  <si>
    <t xml:space="preserve">Written agreements with TPSPs include acknowledgments that TPSPs are r...</t>
  </si>
  <si>
    <t xml:space="preserve">RSK-0299</t>
  </si>
  <si>
    <t xml:space="preserve">An established process is implemented for engaging TPSPs, including pr...</t>
  </si>
  <si>
    <t xml:space="preserve">RSK-0300</t>
  </si>
  <si>
    <t xml:space="preserve">A program is implemented to monitor TPSPs' PCI DSS compliance status a...</t>
  </si>
  <si>
    <t xml:space="preserve">RSK-0301</t>
  </si>
  <si>
    <t xml:space="preserve">Information is maintained about which PCI DSS requirements are managed...</t>
  </si>
  <si>
    <t xml:space="preserve">RSK-0302</t>
  </si>
  <si>
    <t xml:space="preserve">Third-party service providers support their customers' PCI DSS complia...</t>
  </si>
  <si>
    <t xml:space="preserve">RSK-0303</t>
  </si>
  <si>
    <t xml:space="preserve">Additional – service providers only: TPSPs provide written agreements ...</t>
  </si>
  <si>
    <t xml:space="preserve">RSK-0304</t>
  </si>
  <si>
    <t xml:space="preserve">Suspected and confirmed security incidents that could impact the CDE a...</t>
  </si>
  <si>
    <t xml:space="preserve">RSK-0305</t>
  </si>
  <si>
    <t xml:space="preserve">An incident response plan is: created and implemented to be initiated ...</t>
  </si>
  <si>
    <t xml:space="preserve">RSK-0306</t>
  </si>
  <si>
    <t xml:space="preserve">At least once every 12 months, the security incident response plan is:...</t>
  </si>
  <si>
    <t xml:space="preserve">RSK-0307</t>
  </si>
  <si>
    <t xml:space="preserve">Specific personnel are designated to be available 24×7 to respond to s...</t>
  </si>
  <si>
    <t xml:space="preserve">RSK-0308</t>
  </si>
  <si>
    <t xml:space="preserve">Personnel responsible for responding to suspected and confirmed securi...</t>
  </si>
  <si>
    <t xml:space="preserve">RSK-0309</t>
  </si>
  <si>
    <t xml:space="preserve">The frequency of periodic training for incident response personnel is ...</t>
  </si>
  <si>
    <t xml:space="preserve">RSK-0310</t>
  </si>
  <si>
    <t xml:space="preserve">The security incident response plan includes monitoring and responding...</t>
  </si>
  <si>
    <t xml:space="preserve">RSK-0311</t>
  </si>
  <si>
    <t xml:space="preserve">The security incident response plan is modified and evolved according ...</t>
  </si>
  <si>
    <t xml:space="preserve">RSK-0312</t>
  </si>
  <si>
    <t xml:space="preserve">Incident response procedures are in place, to be initiated upon detect...</t>
  </si>
  <si>
    <t xml:space="preserve">PCI DSS v4.0.1 — RESPONSIBILITY MATRIX (RACI)</t>
  </si>
  <si>
    <t xml:space="preserve">REQ DOMAIN</t>
  </si>
  <si>
    <t xml:space="preserve">DOMAIN TITLE</t>
  </si>
  <si>
    <t xml:space="preserve">CISO / InfoSec Lead</t>
  </si>
  <si>
    <t xml:space="preserve">IT Operations</t>
  </si>
  <si>
    <t xml:space="preserve">Network Engineering</t>
  </si>
  <si>
    <t xml:space="preserve">Application Dev</t>
  </si>
  <si>
    <t xml:space="preserve">HR / People Ops</t>
  </si>
  <si>
    <t xml:space="preserve">Physical Security</t>
  </si>
  <si>
    <t xml:space="preserve">Compliance / GRC</t>
  </si>
  <si>
    <t xml:space="preserve">Internal Audit</t>
  </si>
  <si>
    <t xml:space="preserve">Executive / Board</t>
  </si>
  <si>
    <t xml:space="preserve">Third-Party / TPSP</t>
  </si>
  <si>
    <t xml:space="preserve">Requirement 1</t>
  </si>
  <si>
    <t xml:space="preserve">C</t>
  </si>
  <si>
    <t xml:space="preserve">R</t>
  </si>
  <si>
    <t xml:space="preserve">A</t>
  </si>
  <si>
    <t xml:space="preserve">I</t>
  </si>
  <si>
    <t xml:space="preserve">Requirement 2</t>
  </si>
  <si>
    <t xml:space="preserve">Requirement 3</t>
  </si>
  <si>
    <t xml:space="preserve">Requirement 4</t>
  </si>
  <si>
    <t xml:space="preserve">Requirement 5</t>
  </si>
  <si>
    <t xml:space="preserve">Requirement 6</t>
  </si>
  <si>
    <t xml:space="preserve">A/R</t>
  </si>
  <si>
    <t xml:space="preserve">Requirement 7</t>
  </si>
  <si>
    <t xml:space="preserve">Requirement 8</t>
  </si>
  <si>
    <t xml:space="preserve">Requirement 9</t>
  </si>
  <si>
    <t xml:space="preserve">Requirement 10</t>
  </si>
  <si>
    <t xml:space="preserve">Requirement 11</t>
  </si>
  <si>
    <t xml:space="preserve">Requirement 12</t>
  </si>
  <si>
    <t xml:space="preserve">RACI LEGEND</t>
  </si>
  <si>
    <t xml:space="preserve">RESPONSIBLE – Person who does the work to achieve the task</t>
  </si>
  <si>
    <t xml:space="preserve">ACCOUNTABLE – Person ultimately answerable for the correct and thorough completion of the deliverable</t>
  </si>
  <si>
    <t xml:space="preserve">CONSULTED – People whose opinions are sought; two-way communication</t>
  </si>
  <si>
    <t xml:space="preserve">INFORMED – People who are kept up-to-date on progress; one-way communication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</si>
</sst>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5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color rgb="FF4A4A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5C99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9"/>
      <color rgb="FF7D3C98"/>
      <name val="Arial"/>
      <family val="0"/>
      <charset val="1"/>
    </font>
    <font>
      <b val="true"/>
      <sz val="9"/>
      <color rgb="FF4A4A4A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0"/>
      <color rgb="FFC17D00"/>
      <name val="Arial"/>
      <family val="0"/>
      <charset val="1"/>
    </font>
    <font>
      <b val="true"/>
      <sz val="9"/>
      <color rgb="FF1F5C99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7D3C98"/>
      <name val="Arial"/>
      <family val="0"/>
      <charset val="1"/>
    </font>
    <font>
      <b val="true"/>
      <sz val="9"/>
      <color rgb="FFF1C40F"/>
      <name val="Arial"/>
      <family val="0"/>
      <charset val="1"/>
    </font>
    <font>
      <b val="true"/>
      <sz val="10"/>
      <color rgb="FF117A65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10"/>
      <color rgb="FFA04000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10"/>
      <color rgb="FF0E6655"/>
      <name val="Arial"/>
      <family val="0"/>
      <charset val="1"/>
    </font>
    <font>
      <b val="true"/>
      <sz val="10"/>
      <color rgb="FF2E4053"/>
      <name val="Arial"/>
      <family val="0"/>
      <charset val="1"/>
    </font>
    <font>
      <b val="true"/>
      <sz val="10"/>
      <color rgb="FFF1C40F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C17D00"/>
      <name val="Arial"/>
      <family val="0"/>
      <charset val="1"/>
    </font>
    <font>
      <b val="true"/>
      <sz val="9"/>
      <color rgb="FF1A5276"/>
      <name val="Arial"/>
      <family val="0"/>
      <charset val="1"/>
    </font>
    <font>
      <b val="true"/>
      <sz val="9"/>
      <color rgb="FF117A65"/>
      <name val="Arial"/>
      <family val="0"/>
      <charset val="1"/>
    </font>
    <font>
      <b val="true"/>
      <sz val="9"/>
      <color rgb="FFA04000"/>
      <name val="Arial"/>
      <family val="0"/>
      <charset val="1"/>
    </font>
    <font>
      <b val="true"/>
      <sz val="9"/>
      <color rgb="FF2C3E50"/>
      <name val="Arial"/>
      <family val="0"/>
      <charset val="1"/>
    </font>
    <font>
      <b val="true"/>
      <sz val="9"/>
      <color rgb="FF6C3483"/>
      <name val="Arial"/>
      <family val="0"/>
      <charset val="1"/>
    </font>
    <font>
      <b val="true"/>
      <sz val="9"/>
      <color rgb="FF0E6655"/>
      <name val="Arial"/>
      <family val="0"/>
      <charset val="1"/>
    </font>
    <font>
      <b val="true"/>
      <sz val="9"/>
      <color rgb="FF2E4053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1B2A4A"/>
        <bgColor rgb="FF2C3E50"/>
      </patternFill>
    </fill>
    <fill>
      <patternFill patternType="solid">
        <fgColor rgb="FF1F5C99"/>
        <bgColor rgb="FF1A5276"/>
      </patternFill>
    </fill>
    <fill>
      <patternFill patternType="solid">
        <fgColor rgb="FFD6E4F0"/>
        <bgColor rgb="FFD4EFDF"/>
      </patternFill>
    </fill>
    <fill>
      <patternFill patternType="solid">
        <fgColor rgb="FFF2F2F2"/>
        <bgColor rgb="FFF0F3F4"/>
      </patternFill>
    </fill>
    <fill>
      <patternFill patternType="solid">
        <fgColor rgb="FFD4EFDF"/>
        <bgColor rgb="FFD5F5E3"/>
      </patternFill>
    </fill>
    <fill>
      <patternFill patternType="solid">
        <fgColor rgb="FFFADBD8"/>
        <bgColor rgb="FFE8DAEF"/>
      </patternFill>
    </fill>
    <fill>
      <patternFill patternType="solid">
        <fgColor rgb="FFFDEBD0"/>
        <bgColor rgb="FFFDEDEC"/>
      </patternFill>
    </fill>
    <fill>
      <patternFill patternType="solid">
        <fgColor rgb="FFD9D9D9"/>
        <bgColor rgb="FFE8DAEF"/>
      </patternFill>
    </fill>
    <fill>
      <patternFill patternType="solid">
        <fgColor rgb="FFC0392B"/>
        <bgColor rgb="FFA04000"/>
      </patternFill>
    </fill>
    <fill>
      <patternFill patternType="solid">
        <fgColor rgb="FFE67E22"/>
        <bgColor rgb="FFC17D00"/>
      </patternFill>
    </fill>
    <fill>
      <patternFill patternType="solid">
        <fgColor rgb="FFF1C40F"/>
        <bgColor rgb="FFE67E22"/>
      </patternFill>
    </fill>
    <fill>
      <patternFill patternType="solid">
        <fgColor rgb="FF27AE60"/>
        <bgColor rgb="FF1E8449"/>
      </patternFill>
    </fill>
    <fill>
      <patternFill patternType="solid">
        <fgColor rgb="FFFFFFFF"/>
        <bgColor rgb="FFFDFEFE"/>
      </patternFill>
    </fill>
    <fill>
      <patternFill patternType="solid">
        <fgColor rgb="FFEEE4FF"/>
        <bgColor rgb="FFF4ECF7"/>
      </patternFill>
    </fill>
    <fill>
      <patternFill patternType="solid">
        <fgColor rgb="FFFFF8F0"/>
        <bgColor rgb="FFFEF9E7"/>
      </patternFill>
    </fill>
    <fill>
      <patternFill patternType="solid">
        <fgColor rgb="FFEBF5FB"/>
        <bgColor rgb="FFE8F8F5"/>
      </patternFill>
    </fill>
    <fill>
      <patternFill patternType="solid">
        <fgColor rgb="FFD5F5E3"/>
        <bgColor rgb="FFD1F2EB"/>
      </patternFill>
    </fill>
    <fill>
      <patternFill patternType="solid">
        <fgColor rgb="FFFEF9E7"/>
        <bgColor rgb="FFFFF8F0"/>
      </patternFill>
    </fill>
    <fill>
      <patternFill patternType="solid">
        <fgColor rgb="FFFDEDEC"/>
        <bgColor rgb="FFFDF2E9"/>
      </patternFill>
    </fill>
    <fill>
      <patternFill patternType="solid">
        <fgColor rgb="FFF4ECF7"/>
        <bgColor rgb="FFF2F2F2"/>
      </patternFill>
    </fill>
    <fill>
      <patternFill patternType="solid">
        <fgColor rgb="FFE8F8F5"/>
        <bgColor rgb="FFEBF5FB"/>
      </patternFill>
    </fill>
    <fill>
      <patternFill patternType="solid">
        <fgColor rgb="FFFDF2E9"/>
        <bgColor rgb="FFFDEDEC"/>
      </patternFill>
    </fill>
    <fill>
      <patternFill patternType="solid">
        <fgColor rgb="FFF0F3F4"/>
        <bgColor rgb="FFF2F2F2"/>
      </patternFill>
    </fill>
    <fill>
      <patternFill patternType="solid">
        <fgColor rgb="FFE8DAEF"/>
        <bgColor rgb="FFEEE4FF"/>
      </patternFill>
    </fill>
    <fill>
      <patternFill patternType="solid">
        <fgColor rgb="FFD1F2EB"/>
        <bgColor rgb="FFD5F5E3"/>
      </patternFill>
    </fill>
    <fill>
      <patternFill patternType="solid">
        <fgColor rgb="FFFDFEFE"/>
        <bgColor rgb="FFFFFFFF"/>
      </patternFill>
    </fill>
    <fill>
      <patternFill patternType="solid">
        <fgColor rgb="FF7D3C98"/>
        <bgColor rgb="FF6C3483"/>
      </patternFill>
    </fill>
    <fill>
      <patternFill patternType="solid">
        <fgColor rgb="FFFFB3C6"/>
        <bgColor rgb="FFFADBD8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/>
      <top style="thin">
        <color rgb="FF1B2A4A"/>
      </top>
      <bottom/>
      <diagonal/>
    </border>
    <border diagonalUp="false" diagonalDown="false">
      <left style="thin">
        <color rgb="FF1B2A4A"/>
      </left>
      <right/>
      <top style="thin">
        <color rgb="FF1B2A4A"/>
      </top>
      <bottom style="thin">
        <color rgb="FF1B2A4A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1F5C99"/>
      </left>
      <right style="thin">
        <color rgb="FF1F5C99"/>
      </right>
      <top style="thin">
        <color rgb="FF1F5C99"/>
      </top>
      <bottom style="thin">
        <color rgb="FF1F5C99"/>
      </bottom>
      <diagonal/>
    </border>
    <border diagonalUp="false" diagonalDown="false">
      <left style="thin">
        <color rgb="FFC17D00"/>
      </left>
      <right style="thin">
        <color rgb="FFC17D00"/>
      </right>
      <top style="thin">
        <color rgb="FFC17D00"/>
      </top>
      <bottom style="thin">
        <color rgb="FFC17D00"/>
      </bottom>
      <diagonal/>
    </border>
    <border diagonalUp="false" diagonalDown="false"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 diagonalUp="false" diagonalDown="false">
      <left style="thin">
        <color rgb="FF7D3C98"/>
      </left>
      <right style="thin">
        <color rgb="FF7D3C98"/>
      </right>
      <top style="thin">
        <color rgb="FF7D3C98"/>
      </top>
      <bottom style="thin">
        <color rgb="FF7D3C98"/>
      </bottom>
      <diagonal/>
    </border>
    <border diagonalUp="false" diagonalDown="false">
      <left style="thin">
        <color rgb="FF117A65"/>
      </left>
      <right style="thin">
        <color rgb="FF117A65"/>
      </right>
      <top style="thin">
        <color rgb="FF117A65"/>
      </top>
      <bottom style="thin">
        <color rgb="FF117A65"/>
      </bottom>
      <diagonal/>
    </border>
    <border diagonalUp="false" diagonalDown="false">
      <left style="thin">
        <color rgb="FFA04000"/>
      </left>
      <right style="thin">
        <color rgb="FFA04000"/>
      </right>
      <top style="thin">
        <color rgb="FFA04000"/>
      </top>
      <bottom style="thin">
        <color rgb="FFA04000"/>
      </bottom>
      <diagonal/>
    </border>
    <border diagonalUp="false" diagonalDown="false"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 diagonalUp="false" diagonalDown="false"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 diagonalUp="false" diagonalDown="false">
      <left style="thin">
        <color rgb="FF0E6655"/>
      </left>
      <right style="thin">
        <color rgb="FF0E6655"/>
      </right>
      <top style="thin">
        <color rgb="FF0E6655"/>
      </top>
      <bottom style="thin">
        <color rgb="FF0E6655"/>
      </bottom>
      <diagonal/>
    </border>
    <border diagonalUp="false" diagonalDown="false">
      <left style="thin">
        <color rgb="FF2E4053"/>
      </left>
      <right style="thin">
        <color rgb="FF2E4053"/>
      </right>
      <top style="thin">
        <color rgb="FF2E4053"/>
      </top>
      <bottom style="thin">
        <color rgb="FF2E4053"/>
      </bottom>
      <diagonal/>
    </border>
    <border diagonalUp="false" diagonalDown="false">
      <left/>
      <right/>
      <top style="thin">
        <color rgb="FF7D3C98"/>
      </top>
      <bottom style="thin">
        <color rgb="FF7D3C98"/>
      </bottom>
      <diagonal/>
    </border>
    <border diagonalUp="false" diagonalDown="false">
      <left/>
      <right style="thin">
        <color rgb="FF7D3C98"/>
      </right>
      <top style="thin">
        <color rgb="FF7D3C98"/>
      </top>
      <bottom style="thin">
        <color rgb="FF7D3C98"/>
      </bottom>
      <diagonal/>
    </border>
    <border diagonalUp="false" diagonalDown="false">
      <left/>
      <right/>
      <top style="thin">
        <color rgb="FFE67E22"/>
      </top>
      <bottom style="thin">
        <color rgb="FFE67E22"/>
      </bottom>
      <diagonal/>
    </border>
    <border diagonalUp="false" diagonalDown="false">
      <left/>
      <right style="thin">
        <color rgb="FFE67E22"/>
      </right>
      <top style="thin">
        <color rgb="FFE67E22"/>
      </top>
      <bottom style="thin">
        <color rgb="FFE67E22"/>
      </bottom>
      <diagonal/>
    </border>
    <border diagonalUp="false" diagonalDown="false">
      <left/>
      <right/>
      <top style="thin">
        <color rgb="FFC0392B"/>
      </top>
      <bottom style="thin">
        <color rgb="FFC0392B"/>
      </bottom>
      <diagonal/>
    </border>
    <border diagonalUp="false" diagonalDown="false">
      <left/>
      <right style="thin">
        <color rgb="FFC0392B"/>
      </right>
      <top style="thin">
        <color rgb="FFC0392B"/>
      </top>
      <bottom style="thin">
        <color rgb="FFC0392B"/>
      </bottom>
      <diagonal/>
    </border>
    <border diagonalUp="false" diagonalDown="false">
      <left/>
      <right/>
      <top style="thin">
        <color rgb="FF1F5C99"/>
      </top>
      <bottom style="thin">
        <color rgb="FF1F5C99"/>
      </bottom>
      <diagonal/>
    </border>
    <border diagonalUp="false" diagonalDown="false">
      <left/>
      <right style="thin">
        <color rgb="FF1F5C99"/>
      </right>
      <top style="thin">
        <color rgb="FF1F5C99"/>
      </top>
      <bottom style="thin">
        <color rgb="FF1F5C99"/>
      </bottom>
      <diagonal/>
    </border>
    <border diagonalUp="false" diagonalDown="false">
      <left style="thin">
        <color rgb="FFF1C40F"/>
      </left>
      <right style="thin">
        <color rgb="FFF1C40F"/>
      </right>
      <top style="thin">
        <color rgb="FFF1C40F"/>
      </top>
      <bottom style="thin">
        <color rgb="FFF1C40F"/>
      </bottom>
      <diagonal/>
    </border>
    <border diagonalUp="false" diagonalDown="false">
      <left/>
      <right/>
      <top style="thin">
        <color rgb="FFF1C40F"/>
      </top>
      <bottom style="thin">
        <color rgb="FFF1C40F"/>
      </bottom>
      <diagonal/>
    </border>
    <border diagonalUp="false" diagonalDown="false">
      <left/>
      <right style="thin">
        <color rgb="FFF1C40F"/>
      </right>
      <top style="thin">
        <color rgb="FFF1C40F"/>
      </top>
      <bottom style="thin">
        <color rgb="FFF1C40F"/>
      </bottom>
      <diagonal/>
    </border>
    <border diagonalUp="false" diagonalDown="false"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  <diagonal/>
    </border>
    <border diagonalUp="false" diagonalDown="false">
      <left/>
      <right/>
      <top style="thin">
        <color rgb="FF27AE60"/>
      </top>
      <bottom style="thin">
        <color rgb="FF27AE60"/>
      </bottom>
      <diagonal/>
    </border>
    <border diagonalUp="false" diagonalDown="false">
      <left/>
      <right style="thin">
        <color rgb="FF27AE60"/>
      </right>
      <top style="thin">
        <color rgb="FF27AE60"/>
      </top>
      <bottom style="thin">
        <color rgb="FF27AE6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9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7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1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2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3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4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5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6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7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8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2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2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1E8449"/>
      </font>
      <fill>
        <patternFill>
          <bgColor rgb="FFD4EFDF"/>
        </patternFill>
      </fill>
    </dxf>
    <dxf>
      <font>
        <b val="1"/>
        <color rgb="FFC0392B"/>
      </font>
      <fill>
        <patternFill>
          <bgColor rgb="FFFADBD8"/>
        </patternFill>
      </fill>
    </dxf>
    <dxf>
      <font>
        <b val="1"/>
        <color rgb="FFE67E22"/>
      </font>
      <fill>
        <patternFill>
          <bgColor rgb="FFFDEBD0"/>
        </patternFill>
      </fill>
    </dxf>
  </dxfs>
  <colors>
    <indexedColors>
      <rgbColor rgb="FF000000"/>
      <rgbColor rgb="FFFFFFFF"/>
      <rgbColor rgb="FFC0392B"/>
      <rgbColor rgb="FF00FF00"/>
      <rgbColor rgb="FF0000FF"/>
      <rgbColor rgb="FFFDF2E9"/>
      <rgbColor rgb="FFFF00FF"/>
      <rgbColor rgb="FFFDFEFE"/>
      <rgbColor rgb="FF800000"/>
      <rgbColor rgb="FF0E6655"/>
      <rgbColor rgb="FF000080"/>
      <rgbColor rgb="FFC17D00"/>
      <rgbColor rgb="FF800080"/>
      <rgbColor rgb="FF117A65"/>
      <rgbColor rgb="FFE8DAEF"/>
      <rgbColor rgb="FF888888"/>
      <rgbColor rgb="FFD4EFDF"/>
      <rgbColor rgb="FF7D3C98"/>
      <rgbColor rgb="FFFEF9E7"/>
      <rgbColor rgb="FFD1F2EB"/>
      <rgbColor rgb="FF660066"/>
      <rgbColor rgb="FFF2F2F2"/>
      <rgbColor rgb="FF1F5C99"/>
      <rgbColor rgb="FFD9D9D9"/>
      <rgbColor rgb="FF000080"/>
      <rgbColor rgb="FFFF00FF"/>
      <rgbColor rgb="FFFDEDEC"/>
      <rgbColor rgb="FF00FFFF"/>
      <rgbColor rgb="FF800080"/>
      <rgbColor rgb="FF800000"/>
      <rgbColor rgb="FF1E8449"/>
      <rgbColor rgb="FF0000FF"/>
      <rgbColor rgb="FF00CCFF"/>
      <rgbColor rgb="FFE8F8F5"/>
      <rgbColor rgb="FFD5F5E3"/>
      <rgbColor rgb="FFFDEBD0"/>
      <rgbColor rgb="FFD6E4F0"/>
      <rgbColor rgb="FFFFB3C6"/>
      <rgbColor rgb="FFEEE4FF"/>
      <rgbColor rgb="FFFADBD8"/>
      <rgbColor rgb="FF3366FF"/>
      <rgbColor rgb="FFEBF5FB"/>
      <rgbColor rgb="FFF0F3F4"/>
      <rgbColor rgb="FFF1C40F"/>
      <rgbColor rgb="FFFFF8F0"/>
      <rgbColor rgb="FFE67E22"/>
      <rgbColor rgb="FF666666"/>
      <rgbColor rgb="FFF4ECF7"/>
      <rgbColor rgb="FF1B2A4A"/>
      <rgbColor rgb="FF27AE60"/>
      <rgbColor rgb="FF1A5276"/>
      <rgbColor rgb="FF4A4A4A"/>
      <rgbColor rgb="FFA04000"/>
      <rgbColor rgb="FF6C3483"/>
      <rgbColor rgb="FF2E4053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22"/>
  </cols>
  <sheetData>
    <row r="1" customFormat="false" ht="19.5" hidden="false" customHeight="true" outlineLevel="0" collapsed="false"/>
    <row r="2" customFormat="false" ht="19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9.5" hidden="false" customHeight="true" outlineLevel="0" collapsed="false">
      <c r="B3" s="1"/>
      <c r="C3" s="1"/>
      <c r="D3" s="1"/>
      <c r="E3" s="1"/>
      <c r="F3" s="1"/>
      <c r="G3" s="1"/>
      <c r="H3" s="1"/>
      <c r="I3" s="1"/>
    </row>
    <row r="4" customFormat="false" ht="19.5" hidden="false" customHeight="true" outlineLevel="0" collapsed="false">
      <c r="B4" s="1"/>
      <c r="C4" s="1"/>
      <c r="D4" s="1"/>
      <c r="E4" s="1"/>
      <c r="F4" s="1"/>
      <c r="G4" s="1"/>
      <c r="H4" s="1"/>
      <c r="I4" s="1"/>
    </row>
    <row r="5" customFormat="false" ht="19.5" hidden="false" customHeight="true" outlineLevel="0" collapsed="false">
      <c r="B5" s="2" t="s">
        <v>1</v>
      </c>
      <c r="C5" s="2"/>
      <c r="D5" s="2"/>
      <c r="E5" s="2"/>
      <c r="F5" s="2"/>
      <c r="G5" s="2"/>
      <c r="H5" s="2"/>
      <c r="I5" s="2"/>
    </row>
    <row r="6" customFormat="false" ht="19.5" hidden="false" customHeight="true" outlineLevel="0" collapsed="false"/>
    <row r="7" customFormat="false" ht="19.5" hidden="false" customHeight="true" outlineLevel="0" collapsed="false">
      <c r="B7" s="3" t="s">
        <v>2</v>
      </c>
      <c r="C7" s="3"/>
      <c r="D7" s="4" t="s">
        <v>3</v>
      </c>
      <c r="E7" s="4"/>
      <c r="F7" s="4"/>
      <c r="G7" s="4"/>
      <c r="H7" s="4"/>
      <c r="I7" s="4"/>
    </row>
    <row r="8" customFormat="false" ht="19.5" hidden="false" customHeight="true" outlineLevel="0" collapsed="false">
      <c r="B8" s="3" t="s">
        <v>4</v>
      </c>
      <c r="C8" s="3"/>
      <c r="D8" s="4" t="s">
        <v>5</v>
      </c>
      <c r="E8" s="4"/>
      <c r="F8" s="4"/>
      <c r="G8" s="4"/>
      <c r="H8" s="4"/>
      <c r="I8" s="4"/>
    </row>
    <row r="9" customFormat="false" ht="19.5" hidden="false" customHeight="true" outlineLevel="0" collapsed="false">
      <c r="B9" s="3" t="s">
        <v>6</v>
      </c>
      <c r="C9" s="3"/>
      <c r="D9" s="4" t="s">
        <v>7</v>
      </c>
      <c r="E9" s="4"/>
      <c r="F9" s="4"/>
      <c r="G9" s="4"/>
      <c r="H9" s="4"/>
      <c r="I9" s="4"/>
    </row>
    <row r="10" customFormat="false" ht="19.5" hidden="false" customHeight="true" outlineLevel="0" collapsed="false">
      <c r="B10" s="3" t="s">
        <v>8</v>
      </c>
      <c r="C10" s="3"/>
      <c r="D10" s="4" t="s">
        <v>9</v>
      </c>
      <c r="E10" s="4"/>
      <c r="F10" s="4"/>
      <c r="G10" s="4"/>
      <c r="H10" s="4"/>
      <c r="I10" s="4"/>
    </row>
    <row r="11" customFormat="false" ht="19.5" hidden="false" customHeight="true" outlineLevel="0" collapsed="false">
      <c r="B11" s="3" t="s">
        <v>10</v>
      </c>
      <c r="C11" s="3"/>
      <c r="D11" s="4" t="s">
        <v>11</v>
      </c>
      <c r="E11" s="4"/>
      <c r="F11" s="4"/>
      <c r="G11" s="4"/>
      <c r="H11" s="4"/>
      <c r="I11" s="4"/>
    </row>
    <row r="12" customFormat="false" ht="19.5" hidden="false" customHeight="true" outlineLevel="0" collapsed="false">
      <c r="B12" s="3" t="s">
        <v>12</v>
      </c>
      <c r="C12" s="3"/>
      <c r="D12" s="4" t="s">
        <v>13</v>
      </c>
      <c r="E12" s="4"/>
      <c r="F12" s="4"/>
      <c r="G12" s="4"/>
      <c r="H12" s="4"/>
      <c r="I12" s="4"/>
    </row>
    <row r="13" customFormat="false" ht="19.5" hidden="false" customHeight="true" outlineLevel="0" collapsed="false">
      <c r="B13" s="3" t="s">
        <v>14</v>
      </c>
      <c r="C13" s="3"/>
      <c r="D13" s="4" t="s">
        <v>15</v>
      </c>
      <c r="E13" s="4"/>
      <c r="F13" s="4"/>
      <c r="G13" s="4"/>
      <c r="H13" s="4"/>
      <c r="I13" s="4"/>
    </row>
    <row r="14" customFormat="false" ht="19.5" hidden="false" customHeight="true" outlineLevel="0" collapsed="false"/>
    <row r="15" customFormat="false" ht="19.5" hidden="false" customHeight="true" outlineLevel="0" collapsed="false">
      <c r="B15" s="5" t="s">
        <v>16</v>
      </c>
      <c r="C15" s="5"/>
      <c r="D15" s="5"/>
      <c r="E15" s="5"/>
      <c r="F15" s="5"/>
      <c r="G15" s="5"/>
      <c r="H15" s="5"/>
      <c r="I15" s="5"/>
    </row>
    <row r="16" customFormat="false" ht="19.5" hidden="false" customHeight="true" outlineLevel="0" collapsed="false">
      <c r="B16" s="6" t="s">
        <v>17</v>
      </c>
      <c r="C16" s="6"/>
      <c r="D16" s="7" t="s">
        <v>18</v>
      </c>
      <c r="E16" s="7"/>
      <c r="F16" s="7"/>
      <c r="G16" s="7"/>
      <c r="H16" s="7"/>
      <c r="I16" s="7"/>
    </row>
    <row r="17" customFormat="false" ht="19.5" hidden="false" customHeight="true" outlineLevel="0" collapsed="false">
      <c r="B17" s="6" t="s">
        <v>19</v>
      </c>
      <c r="C17" s="6"/>
      <c r="D17" s="7" t="s">
        <v>20</v>
      </c>
      <c r="E17" s="7"/>
      <c r="F17" s="7"/>
      <c r="G17" s="7"/>
      <c r="H17" s="7"/>
      <c r="I17" s="7"/>
    </row>
    <row r="18" customFormat="false" ht="19.5" hidden="false" customHeight="true" outlineLevel="0" collapsed="false">
      <c r="B18" s="6" t="s">
        <v>21</v>
      </c>
      <c r="C18" s="6"/>
      <c r="D18" s="7" t="s">
        <v>22</v>
      </c>
      <c r="E18" s="7"/>
      <c r="F18" s="7"/>
      <c r="G18" s="7"/>
      <c r="H18" s="7"/>
      <c r="I18" s="7"/>
    </row>
    <row r="19" customFormat="false" ht="19.5" hidden="false" customHeight="true" outlineLevel="0" collapsed="false">
      <c r="B19" s="6" t="s">
        <v>23</v>
      </c>
      <c r="C19" s="6"/>
      <c r="D19" s="7" t="s">
        <v>24</v>
      </c>
      <c r="E19" s="7"/>
      <c r="F19" s="7"/>
      <c r="G19" s="7"/>
      <c r="H19" s="7"/>
      <c r="I19" s="7"/>
    </row>
    <row r="20" customFormat="false" ht="19.5" hidden="false" customHeight="true" outlineLevel="0" collapsed="false">
      <c r="B20" s="6" t="s">
        <v>25</v>
      </c>
      <c r="C20" s="6"/>
      <c r="D20" s="7" t="s">
        <v>26</v>
      </c>
      <c r="E20" s="7"/>
      <c r="F20" s="7"/>
      <c r="G20" s="7"/>
      <c r="H20" s="7"/>
      <c r="I20" s="7"/>
    </row>
    <row r="21" customFormat="false" ht="19.5" hidden="false" customHeight="true" outlineLevel="0" collapsed="false">
      <c r="B21" s="6" t="s">
        <v>27</v>
      </c>
      <c r="C21" s="6"/>
      <c r="D21" s="7" t="s">
        <v>28</v>
      </c>
      <c r="E21" s="7"/>
      <c r="F21" s="7"/>
      <c r="G21" s="7"/>
      <c r="H21" s="7"/>
      <c r="I21" s="7"/>
    </row>
    <row r="22" customFormat="false" ht="19.5" hidden="false" customHeight="true" outlineLevel="0" collapsed="false"/>
    <row r="23" customFormat="false" ht="19.5" hidden="false" customHeight="true" outlineLevel="0" collapsed="false">
      <c r="B23" s="5" t="s">
        <v>29</v>
      </c>
      <c r="C23" s="5"/>
      <c r="D23" s="5"/>
      <c r="E23" s="5"/>
      <c r="F23" s="5"/>
      <c r="G23" s="5"/>
      <c r="H23" s="5"/>
      <c r="I23" s="5"/>
    </row>
    <row r="24" customFormat="false" ht="19.5" hidden="false" customHeight="true" outlineLevel="0" collapsed="false">
      <c r="B24" s="8" t="s">
        <v>30</v>
      </c>
      <c r="C24" s="8"/>
      <c r="D24" s="9" t="s">
        <v>31</v>
      </c>
      <c r="E24" s="9"/>
      <c r="F24" s="9"/>
      <c r="G24" s="9"/>
      <c r="H24" s="9"/>
      <c r="I24" s="9"/>
    </row>
    <row r="25" customFormat="false" ht="19.5" hidden="false" customHeight="true" outlineLevel="0" collapsed="false">
      <c r="B25" s="10" t="s">
        <v>32</v>
      </c>
      <c r="C25" s="10"/>
      <c r="D25" s="9" t="s">
        <v>33</v>
      </c>
      <c r="E25" s="9"/>
      <c r="F25" s="9"/>
      <c r="G25" s="9"/>
      <c r="H25" s="9"/>
      <c r="I25" s="9"/>
    </row>
    <row r="26" customFormat="false" ht="19.5" hidden="false" customHeight="true" outlineLevel="0" collapsed="false">
      <c r="B26" s="11" t="s">
        <v>34</v>
      </c>
      <c r="C26" s="11"/>
      <c r="D26" s="9" t="s">
        <v>35</v>
      </c>
      <c r="E26" s="9"/>
      <c r="F26" s="9"/>
      <c r="G26" s="9"/>
      <c r="H26" s="9"/>
      <c r="I26" s="9"/>
    </row>
    <row r="27" customFormat="false" ht="19.5" hidden="false" customHeight="true" outlineLevel="0" collapsed="false">
      <c r="B27" s="12" t="s">
        <v>36</v>
      </c>
      <c r="C27" s="12"/>
      <c r="D27" s="9" t="s">
        <v>37</v>
      </c>
      <c r="E27" s="9"/>
      <c r="F27" s="9"/>
      <c r="G27" s="9"/>
      <c r="H27" s="9"/>
      <c r="I27" s="9"/>
    </row>
    <row r="28" customFormat="false" ht="19.5" hidden="false" customHeight="true" outlineLevel="0" collapsed="false">
      <c r="B28" s="13" t="s">
        <v>38</v>
      </c>
      <c r="C28" s="13"/>
      <c r="D28" s="9" t="s">
        <v>39</v>
      </c>
      <c r="E28" s="9"/>
      <c r="F28" s="9"/>
      <c r="G28" s="9"/>
      <c r="H28" s="9"/>
      <c r="I28" s="9"/>
    </row>
    <row r="29" customFormat="false" ht="19.5" hidden="false" customHeight="true" outlineLevel="0" collapsed="false"/>
    <row r="30" customFormat="false" ht="19.5" hidden="false" customHeight="true" outlineLevel="0" collapsed="false">
      <c r="B30" s="5" t="s">
        <v>40</v>
      </c>
      <c r="C30" s="5"/>
      <c r="D30" s="5"/>
      <c r="E30" s="5"/>
      <c r="F30" s="5"/>
      <c r="G30" s="5"/>
      <c r="H30" s="5"/>
      <c r="I30" s="5"/>
    </row>
    <row r="31" customFormat="false" ht="19.5" hidden="false" customHeight="true" outlineLevel="0" collapsed="false">
      <c r="B31" s="14" t="s">
        <v>41</v>
      </c>
      <c r="C31" s="14"/>
      <c r="D31" s="9" t="s">
        <v>42</v>
      </c>
      <c r="E31" s="9"/>
      <c r="F31" s="9"/>
      <c r="G31" s="9"/>
      <c r="H31" s="9"/>
      <c r="I31" s="9"/>
    </row>
    <row r="32" customFormat="false" ht="19.5" hidden="false" customHeight="true" outlineLevel="0" collapsed="false">
      <c r="B32" s="15" t="s">
        <v>43</v>
      </c>
      <c r="C32" s="15"/>
      <c r="D32" s="9" t="s">
        <v>44</v>
      </c>
      <c r="E32" s="9"/>
      <c r="F32" s="9"/>
      <c r="G32" s="9"/>
      <c r="H32" s="9"/>
      <c r="I32" s="9"/>
    </row>
    <row r="33" customFormat="false" ht="19.5" hidden="false" customHeight="true" outlineLevel="0" collapsed="false">
      <c r="B33" s="16" t="s">
        <v>45</v>
      </c>
      <c r="C33" s="16"/>
      <c r="D33" s="9" t="s">
        <v>46</v>
      </c>
      <c r="E33" s="9"/>
      <c r="F33" s="9"/>
      <c r="G33" s="9"/>
      <c r="H33" s="9"/>
      <c r="I33" s="9"/>
    </row>
    <row r="34" customFormat="false" ht="19.5" hidden="false" customHeight="true" outlineLevel="0" collapsed="false">
      <c r="B34" s="17" t="s">
        <v>47</v>
      </c>
      <c r="C34" s="17"/>
      <c r="D34" s="9" t="s">
        <v>48</v>
      </c>
      <c r="E34" s="9"/>
      <c r="F34" s="9"/>
      <c r="G34" s="9"/>
      <c r="H34" s="9"/>
      <c r="I34" s="9"/>
    </row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</sheetData>
  <mergeCells count="49">
    <mergeCell ref="B2:I4"/>
    <mergeCell ref="B5:I5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2:C12"/>
    <mergeCell ref="D12:I12"/>
    <mergeCell ref="B13:C13"/>
    <mergeCell ref="D13:I13"/>
    <mergeCell ref="B15:I15"/>
    <mergeCell ref="B16:C16"/>
    <mergeCell ref="D16:I16"/>
    <mergeCell ref="B17:C17"/>
    <mergeCell ref="D17:I17"/>
    <mergeCell ref="B18:C18"/>
    <mergeCell ref="D18:I18"/>
    <mergeCell ref="B19:C19"/>
    <mergeCell ref="D19:I19"/>
    <mergeCell ref="B20:C20"/>
    <mergeCell ref="D20:I20"/>
    <mergeCell ref="B21:C21"/>
    <mergeCell ref="D21:I21"/>
    <mergeCell ref="B23:I23"/>
    <mergeCell ref="B24:C24"/>
    <mergeCell ref="D24:I24"/>
    <mergeCell ref="B25:C25"/>
    <mergeCell ref="D25:I25"/>
    <mergeCell ref="B26:C26"/>
    <mergeCell ref="D26:I26"/>
    <mergeCell ref="B27:C27"/>
    <mergeCell ref="D27:I27"/>
    <mergeCell ref="B28:C28"/>
    <mergeCell ref="D28:I28"/>
    <mergeCell ref="B30:I30"/>
    <mergeCell ref="B31:C31"/>
    <mergeCell ref="D31:I31"/>
    <mergeCell ref="B32:C32"/>
    <mergeCell ref="D32:I32"/>
    <mergeCell ref="B33:C33"/>
    <mergeCell ref="D33:I33"/>
    <mergeCell ref="B34:C34"/>
    <mergeCell ref="D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40"/>
    <col collapsed="false" customWidth="true" hidden="false" outlineLevel="0" max="13" min="13" style="0" width="55"/>
    <col collapsed="false" customWidth="true" hidden="false" outlineLevel="0" max="14" min="14" style="0" width="28"/>
    <col collapsed="false" customWidth="true" hidden="false" outlineLevel="0" max="15" min="15" style="0" width="22"/>
    <col collapsed="false" customWidth="true" hidden="false" outlineLevel="0" max="16" min="16" style="0" width="28"/>
    <col collapsed="false" customWidth="true" hidden="false" outlineLevel="0" max="17" min="17" style="0" width="14"/>
    <col collapsed="false" customWidth="true" hidden="false" outlineLevel="0" max="18" min="18" style="0" width="20"/>
    <col collapsed="false" customWidth="true" hidden="false" outlineLevel="0" max="19" min="19" style="0" width="16"/>
    <col collapsed="false" customWidth="true" hidden="false" outlineLevel="0" max="20" min="20" style="0" width="40"/>
    <col collapsed="false" customWidth="true" hidden="false" outlineLevel="0" max="21" min="21" style="0" width="22"/>
    <col collapsed="false" customWidth="true" hidden="false" outlineLevel="0" max="23" min="22" style="0" width="16"/>
    <col collapsed="false" customWidth="true" hidden="false" outlineLevel="0" max="25" min="24" style="0" width="35"/>
  </cols>
  <sheetData>
    <row r="1" customFormat="false" ht="12" hidden="false" customHeight="true" outlineLevel="0" collapsed="false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customFormat="false" ht="12" hidden="false" customHeight="tru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customFormat="false" ht="27.75" hidden="false" customHeight="true" outlineLevel="0" collapsed="false">
      <c r="A3" s="19" t="s">
        <v>50</v>
      </c>
      <c r="B3" s="19" t="s">
        <v>51</v>
      </c>
      <c r="C3" s="19" t="s">
        <v>52</v>
      </c>
      <c r="D3" s="19" t="s">
        <v>53</v>
      </c>
      <c r="E3" s="19" t="s">
        <v>54</v>
      </c>
      <c r="F3" s="19" t="s">
        <v>55</v>
      </c>
      <c r="G3" s="19" t="s">
        <v>56</v>
      </c>
      <c r="H3" s="19" t="s">
        <v>57</v>
      </c>
      <c r="I3" s="19" t="s">
        <v>58</v>
      </c>
      <c r="J3" s="19" t="s">
        <v>59</v>
      </c>
      <c r="K3" s="19" t="s">
        <v>60</v>
      </c>
      <c r="L3" s="19" t="s">
        <v>61</v>
      </c>
      <c r="M3" s="19" t="s">
        <v>62</v>
      </c>
      <c r="N3" s="19" t="s">
        <v>63</v>
      </c>
      <c r="O3" s="19" t="s">
        <v>64</v>
      </c>
      <c r="P3" s="19" t="s">
        <v>65</v>
      </c>
      <c r="Q3" s="19" t="s">
        <v>66</v>
      </c>
      <c r="R3" s="19" t="s">
        <v>67</v>
      </c>
      <c r="S3" s="19" t="s">
        <v>68</v>
      </c>
      <c r="T3" s="19" t="s">
        <v>69</v>
      </c>
      <c r="U3" s="19" t="s">
        <v>70</v>
      </c>
      <c r="V3" s="19" t="s">
        <v>71</v>
      </c>
      <c r="W3" s="19" t="s">
        <v>72</v>
      </c>
      <c r="X3" s="19" t="s">
        <v>73</v>
      </c>
      <c r="Y3" s="19" t="s">
        <v>74</v>
      </c>
    </row>
    <row r="4" customFormat="false" ht="18" hidden="false" customHeight="true" outlineLevel="0" collapsed="false">
      <c r="A4" s="20" t="s">
        <v>75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customFormat="false" ht="45" hidden="false" customHeight="true" outlineLevel="0" collapsed="false">
      <c r="A5" s="21" t="s">
        <v>76</v>
      </c>
      <c r="B5" s="22" t="s">
        <v>75</v>
      </c>
      <c r="C5" s="23" t="s">
        <v>77</v>
      </c>
      <c r="D5" s="23" t="s">
        <v>78</v>
      </c>
      <c r="E5" s="24" t="s">
        <v>79</v>
      </c>
      <c r="F5" s="23" t="s">
        <v>80</v>
      </c>
      <c r="G5" s="23" t="s">
        <v>81</v>
      </c>
      <c r="H5" s="25" t="s">
        <v>82</v>
      </c>
      <c r="I5" s="26" t="s">
        <v>38</v>
      </c>
      <c r="J5" s="23"/>
      <c r="K5" s="23"/>
      <c r="L5" s="23"/>
      <c r="M5" s="23" t="s">
        <v>83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customFormat="false" ht="45" hidden="false" customHeight="true" outlineLevel="0" collapsed="false">
      <c r="A6" s="27" t="s">
        <v>84</v>
      </c>
      <c r="B6" s="28" t="s">
        <v>75</v>
      </c>
      <c r="C6" s="29" t="s">
        <v>76</v>
      </c>
      <c r="D6" s="29" t="s">
        <v>85</v>
      </c>
      <c r="E6" s="30" t="s">
        <v>79</v>
      </c>
      <c r="F6" s="29" t="s">
        <v>80</v>
      </c>
      <c r="G6" s="29" t="s">
        <v>81</v>
      </c>
      <c r="H6" s="25" t="s">
        <v>82</v>
      </c>
      <c r="I6" s="26" t="s">
        <v>38</v>
      </c>
      <c r="J6" s="29"/>
      <c r="K6" s="29"/>
      <c r="L6" s="29"/>
      <c r="M6" s="29" t="s">
        <v>86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customFormat="false" ht="45" hidden="false" customHeight="true" outlineLevel="0" collapsed="false">
      <c r="A7" s="27" t="s">
        <v>87</v>
      </c>
      <c r="B7" s="28" t="s">
        <v>75</v>
      </c>
      <c r="C7" s="29" t="s">
        <v>76</v>
      </c>
      <c r="D7" s="29" t="s">
        <v>88</v>
      </c>
      <c r="E7" s="30" t="s">
        <v>79</v>
      </c>
      <c r="F7" s="29" t="s">
        <v>80</v>
      </c>
      <c r="G7" s="29" t="s">
        <v>81</v>
      </c>
      <c r="H7" s="25" t="s">
        <v>89</v>
      </c>
      <c r="I7" s="26" t="s">
        <v>38</v>
      </c>
      <c r="J7" s="29"/>
      <c r="K7" s="29"/>
      <c r="L7" s="29"/>
      <c r="M7" s="29" t="s">
        <v>90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customFormat="false" ht="45" hidden="false" customHeight="true" outlineLevel="0" collapsed="false">
      <c r="A8" s="21" t="s">
        <v>91</v>
      </c>
      <c r="B8" s="31" t="s">
        <v>75</v>
      </c>
      <c r="C8" s="32" t="s">
        <v>77</v>
      </c>
      <c r="D8" s="32" t="s">
        <v>92</v>
      </c>
      <c r="E8" s="33" t="s">
        <v>93</v>
      </c>
      <c r="F8" s="32" t="s">
        <v>80</v>
      </c>
      <c r="G8" s="32" t="s">
        <v>81</v>
      </c>
      <c r="H8" s="25" t="s">
        <v>82</v>
      </c>
      <c r="I8" s="26" t="s">
        <v>38</v>
      </c>
      <c r="J8" s="32"/>
      <c r="K8" s="32"/>
      <c r="L8" s="32"/>
      <c r="M8" s="32" t="s">
        <v>94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customFormat="false" ht="45" hidden="false" customHeight="true" outlineLevel="0" collapsed="false">
      <c r="A9" s="27" t="s">
        <v>95</v>
      </c>
      <c r="B9" s="28" t="s">
        <v>75</v>
      </c>
      <c r="C9" s="29" t="s">
        <v>91</v>
      </c>
      <c r="D9" s="29" t="s">
        <v>96</v>
      </c>
      <c r="E9" s="34" t="s">
        <v>93</v>
      </c>
      <c r="F9" s="29" t="s">
        <v>80</v>
      </c>
      <c r="G9" s="29" t="s">
        <v>81</v>
      </c>
      <c r="H9" s="25" t="s">
        <v>82</v>
      </c>
      <c r="I9" s="26" t="s">
        <v>38</v>
      </c>
      <c r="J9" s="29"/>
      <c r="K9" s="29"/>
      <c r="L9" s="29"/>
      <c r="M9" s="29" t="s">
        <v>97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customFormat="false" ht="45" hidden="false" customHeight="true" outlineLevel="0" collapsed="false">
      <c r="A10" s="27" t="s">
        <v>98</v>
      </c>
      <c r="B10" s="28" t="s">
        <v>75</v>
      </c>
      <c r="C10" s="29" t="s">
        <v>91</v>
      </c>
      <c r="D10" s="29" t="s">
        <v>99</v>
      </c>
      <c r="E10" s="30" t="s">
        <v>79</v>
      </c>
      <c r="F10" s="29" t="s">
        <v>80</v>
      </c>
      <c r="G10" s="29" t="s">
        <v>100</v>
      </c>
      <c r="H10" s="25" t="s">
        <v>82</v>
      </c>
      <c r="I10" s="26" t="s">
        <v>38</v>
      </c>
      <c r="J10" s="29"/>
      <c r="K10" s="29"/>
      <c r="L10" s="29"/>
      <c r="M10" s="29" t="s">
        <v>101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customFormat="false" ht="45" hidden="false" customHeight="true" outlineLevel="0" collapsed="false">
      <c r="A11" s="27" t="s">
        <v>102</v>
      </c>
      <c r="B11" s="28" t="s">
        <v>75</v>
      </c>
      <c r="C11" s="29" t="s">
        <v>91</v>
      </c>
      <c r="D11" s="29" t="s">
        <v>103</v>
      </c>
      <c r="E11" s="35" t="s">
        <v>104</v>
      </c>
      <c r="F11" s="29" t="s">
        <v>80</v>
      </c>
      <c r="G11" s="29" t="s">
        <v>81</v>
      </c>
      <c r="H11" s="25" t="s">
        <v>82</v>
      </c>
      <c r="I11" s="26" t="s">
        <v>38</v>
      </c>
      <c r="J11" s="29"/>
      <c r="K11" s="29"/>
      <c r="L11" s="29"/>
      <c r="M11" s="29" t="s">
        <v>105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customFormat="false" ht="45" hidden="false" customHeight="true" outlineLevel="0" collapsed="false">
      <c r="A12" s="27" t="s">
        <v>106</v>
      </c>
      <c r="B12" s="28" t="s">
        <v>75</v>
      </c>
      <c r="C12" s="29" t="s">
        <v>91</v>
      </c>
      <c r="D12" s="29" t="s">
        <v>107</v>
      </c>
      <c r="E12" s="35" t="s">
        <v>104</v>
      </c>
      <c r="F12" s="29" t="s">
        <v>80</v>
      </c>
      <c r="G12" s="29" t="s">
        <v>81</v>
      </c>
      <c r="H12" s="25" t="s">
        <v>82</v>
      </c>
      <c r="I12" s="26" t="s">
        <v>38</v>
      </c>
      <c r="J12" s="29"/>
      <c r="K12" s="29"/>
      <c r="L12" s="29"/>
      <c r="M12" s="29" t="s">
        <v>108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customFormat="false" ht="45" hidden="false" customHeight="true" outlineLevel="0" collapsed="false">
      <c r="A13" s="27" t="s">
        <v>109</v>
      </c>
      <c r="B13" s="28" t="s">
        <v>75</v>
      </c>
      <c r="C13" s="29" t="s">
        <v>91</v>
      </c>
      <c r="D13" s="29" t="s">
        <v>110</v>
      </c>
      <c r="E13" s="34" t="s">
        <v>93</v>
      </c>
      <c r="F13" s="29" t="s">
        <v>80</v>
      </c>
      <c r="G13" s="29" t="s">
        <v>81</v>
      </c>
      <c r="H13" s="25" t="s">
        <v>82</v>
      </c>
      <c r="I13" s="26" t="s">
        <v>38</v>
      </c>
      <c r="J13" s="29"/>
      <c r="K13" s="29"/>
      <c r="L13" s="29"/>
      <c r="M13" s="29" t="s">
        <v>111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customFormat="false" ht="45" hidden="false" customHeight="true" outlineLevel="0" collapsed="false">
      <c r="A14" s="27" t="s">
        <v>112</v>
      </c>
      <c r="B14" s="28" t="s">
        <v>75</v>
      </c>
      <c r="C14" s="29" t="s">
        <v>91</v>
      </c>
      <c r="D14" s="29" t="s">
        <v>113</v>
      </c>
      <c r="E14" s="34" t="s">
        <v>93</v>
      </c>
      <c r="F14" s="29" t="s">
        <v>80</v>
      </c>
      <c r="G14" s="29" t="s">
        <v>81</v>
      </c>
      <c r="H14" s="25" t="s">
        <v>82</v>
      </c>
      <c r="I14" s="26" t="s">
        <v>38</v>
      </c>
      <c r="J14" s="29"/>
      <c r="K14" s="29"/>
      <c r="L14" s="29"/>
      <c r="M14" s="29" t="s">
        <v>114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customFormat="false" ht="45" hidden="false" customHeight="true" outlineLevel="0" collapsed="false">
      <c r="A15" s="27" t="s">
        <v>115</v>
      </c>
      <c r="B15" s="28" t="s">
        <v>75</v>
      </c>
      <c r="C15" s="29" t="s">
        <v>91</v>
      </c>
      <c r="D15" s="29" t="s">
        <v>116</v>
      </c>
      <c r="E15" s="30" t="s">
        <v>79</v>
      </c>
      <c r="F15" s="29" t="s">
        <v>80</v>
      </c>
      <c r="G15" s="29" t="s">
        <v>117</v>
      </c>
      <c r="H15" s="25" t="s">
        <v>89</v>
      </c>
      <c r="I15" s="26" t="s">
        <v>38</v>
      </c>
      <c r="J15" s="29"/>
      <c r="K15" s="29"/>
      <c r="L15" s="29"/>
      <c r="M15" s="29" t="s">
        <v>118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customFormat="false" ht="45" hidden="false" customHeight="true" outlineLevel="0" collapsed="false">
      <c r="A16" s="27" t="s">
        <v>119</v>
      </c>
      <c r="B16" s="28" t="s">
        <v>75</v>
      </c>
      <c r="C16" s="29" t="s">
        <v>91</v>
      </c>
      <c r="D16" s="29" t="s">
        <v>120</v>
      </c>
      <c r="E16" s="34" t="s">
        <v>93</v>
      </c>
      <c r="F16" s="29" t="s">
        <v>80</v>
      </c>
      <c r="G16" s="29" t="s">
        <v>81</v>
      </c>
      <c r="H16" s="25" t="s">
        <v>82</v>
      </c>
      <c r="I16" s="26" t="s">
        <v>38</v>
      </c>
      <c r="J16" s="29"/>
      <c r="K16" s="29"/>
      <c r="L16" s="29"/>
      <c r="M16" s="29" t="s">
        <v>121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customFormat="false" ht="45" hidden="false" customHeight="true" outlineLevel="0" collapsed="false">
      <c r="A17" s="21" t="s">
        <v>122</v>
      </c>
      <c r="B17" s="22" t="s">
        <v>75</v>
      </c>
      <c r="C17" s="23" t="s">
        <v>77</v>
      </c>
      <c r="D17" s="23" t="s">
        <v>123</v>
      </c>
      <c r="E17" s="36" t="s">
        <v>93</v>
      </c>
      <c r="F17" s="23" t="s">
        <v>80</v>
      </c>
      <c r="G17" s="23" t="s">
        <v>81</v>
      </c>
      <c r="H17" s="25" t="s">
        <v>82</v>
      </c>
      <c r="I17" s="26" t="s">
        <v>38</v>
      </c>
      <c r="J17" s="23"/>
      <c r="K17" s="23"/>
      <c r="L17" s="23"/>
      <c r="M17" s="23" t="s">
        <v>124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customFormat="false" ht="45" hidden="false" customHeight="true" outlineLevel="0" collapsed="false">
      <c r="A18" s="27" t="s">
        <v>125</v>
      </c>
      <c r="B18" s="28" t="s">
        <v>75</v>
      </c>
      <c r="C18" s="29" t="s">
        <v>122</v>
      </c>
      <c r="D18" s="29" t="s">
        <v>126</v>
      </c>
      <c r="E18" s="34" t="s">
        <v>93</v>
      </c>
      <c r="F18" s="29" t="s">
        <v>80</v>
      </c>
      <c r="G18" s="29" t="s">
        <v>81</v>
      </c>
      <c r="H18" s="25" t="s">
        <v>82</v>
      </c>
      <c r="I18" s="26" t="s">
        <v>38</v>
      </c>
      <c r="J18" s="29"/>
      <c r="K18" s="29"/>
      <c r="L18" s="29"/>
      <c r="M18" s="29" t="s">
        <v>127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customFormat="false" ht="45" hidden="false" customHeight="true" outlineLevel="0" collapsed="false">
      <c r="A19" s="27" t="s">
        <v>128</v>
      </c>
      <c r="B19" s="28" t="s">
        <v>75</v>
      </c>
      <c r="C19" s="29" t="s">
        <v>122</v>
      </c>
      <c r="D19" s="29" t="s">
        <v>129</v>
      </c>
      <c r="E19" s="34" t="s">
        <v>93</v>
      </c>
      <c r="F19" s="29" t="s">
        <v>80</v>
      </c>
      <c r="G19" s="29" t="s">
        <v>81</v>
      </c>
      <c r="H19" s="25" t="s">
        <v>82</v>
      </c>
      <c r="I19" s="26" t="s">
        <v>38</v>
      </c>
      <c r="J19" s="29"/>
      <c r="K19" s="29"/>
      <c r="L19" s="29"/>
      <c r="M19" s="29" t="s">
        <v>130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customFormat="false" ht="45" hidden="false" customHeight="true" outlineLevel="0" collapsed="false">
      <c r="A20" s="27" t="s">
        <v>131</v>
      </c>
      <c r="B20" s="28" t="s">
        <v>75</v>
      </c>
      <c r="C20" s="29" t="s">
        <v>122</v>
      </c>
      <c r="D20" s="29" t="s">
        <v>132</v>
      </c>
      <c r="E20" s="34" t="s">
        <v>93</v>
      </c>
      <c r="F20" s="29" t="s">
        <v>80</v>
      </c>
      <c r="G20" s="29" t="s">
        <v>81</v>
      </c>
      <c r="H20" s="25" t="s">
        <v>82</v>
      </c>
      <c r="I20" s="26" t="s">
        <v>38</v>
      </c>
      <c r="J20" s="29"/>
      <c r="K20" s="29"/>
      <c r="L20" s="29"/>
      <c r="M20" s="29" t="s">
        <v>133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customFormat="false" ht="45" hidden="false" customHeight="true" outlineLevel="0" collapsed="false">
      <c r="A21" s="21" t="s">
        <v>134</v>
      </c>
      <c r="B21" s="22" t="s">
        <v>75</v>
      </c>
      <c r="C21" s="23" t="s">
        <v>77</v>
      </c>
      <c r="D21" s="23" t="s">
        <v>135</v>
      </c>
      <c r="E21" s="36" t="s">
        <v>93</v>
      </c>
      <c r="F21" s="23" t="s">
        <v>80</v>
      </c>
      <c r="G21" s="23" t="s">
        <v>81</v>
      </c>
      <c r="H21" s="25" t="s">
        <v>82</v>
      </c>
      <c r="I21" s="26" t="s">
        <v>38</v>
      </c>
      <c r="J21" s="23"/>
      <c r="K21" s="23"/>
      <c r="L21" s="23"/>
      <c r="M21" s="23" t="s">
        <v>136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customFormat="false" ht="45" hidden="false" customHeight="true" outlineLevel="0" collapsed="false">
      <c r="A22" s="27" t="s">
        <v>137</v>
      </c>
      <c r="B22" s="28" t="s">
        <v>75</v>
      </c>
      <c r="C22" s="29" t="s">
        <v>134</v>
      </c>
      <c r="D22" s="29" t="s">
        <v>138</v>
      </c>
      <c r="E22" s="34" t="s">
        <v>93</v>
      </c>
      <c r="F22" s="29" t="s">
        <v>80</v>
      </c>
      <c r="G22" s="29" t="s">
        <v>81</v>
      </c>
      <c r="H22" s="25" t="s">
        <v>82</v>
      </c>
      <c r="I22" s="26" t="s">
        <v>38</v>
      </c>
      <c r="J22" s="29"/>
      <c r="K22" s="29"/>
      <c r="L22" s="29"/>
      <c r="M22" s="29" t="s">
        <v>139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customFormat="false" ht="45" hidden="false" customHeight="true" outlineLevel="0" collapsed="false">
      <c r="A23" s="27" t="s">
        <v>140</v>
      </c>
      <c r="B23" s="28" t="s">
        <v>75</v>
      </c>
      <c r="C23" s="29" t="s">
        <v>134</v>
      </c>
      <c r="D23" s="29" t="s">
        <v>141</v>
      </c>
      <c r="E23" s="34" t="s">
        <v>93</v>
      </c>
      <c r="F23" s="29" t="s">
        <v>80</v>
      </c>
      <c r="G23" s="29" t="s">
        <v>81</v>
      </c>
      <c r="H23" s="25" t="s">
        <v>82</v>
      </c>
      <c r="I23" s="26" t="s">
        <v>38</v>
      </c>
      <c r="J23" s="29"/>
      <c r="K23" s="29"/>
      <c r="L23" s="29"/>
      <c r="M23" s="29" t="s">
        <v>142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customFormat="false" ht="45" hidden="false" customHeight="true" outlineLevel="0" collapsed="false">
      <c r="A24" s="27" t="s">
        <v>143</v>
      </c>
      <c r="B24" s="28" t="s">
        <v>75</v>
      </c>
      <c r="C24" s="29" t="s">
        <v>134</v>
      </c>
      <c r="D24" s="29" t="s">
        <v>144</v>
      </c>
      <c r="E24" s="34" t="s">
        <v>93</v>
      </c>
      <c r="F24" s="29" t="s">
        <v>80</v>
      </c>
      <c r="G24" s="29" t="s">
        <v>81</v>
      </c>
      <c r="H24" s="25" t="s">
        <v>82</v>
      </c>
      <c r="I24" s="26" t="s">
        <v>38</v>
      </c>
      <c r="J24" s="29"/>
      <c r="K24" s="29"/>
      <c r="L24" s="29"/>
      <c r="M24" s="29" t="s">
        <v>145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customFormat="false" ht="45" hidden="false" customHeight="true" outlineLevel="0" collapsed="false">
      <c r="A25" s="27" t="s">
        <v>146</v>
      </c>
      <c r="B25" s="28" t="s">
        <v>75</v>
      </c>
      <c r="C25" s="29" t="s">
        <v>134</v>
      </c>
      <c r="D25" s="29" t="s">
        <v>147</v>
      </c>
      <c r="E25" s="34" t="s">
        <v>93</v>
      </c>
      <c r="F25" s="29" t="s">
        <v>80</v>
      </c>
      <c r="G25" s="29" t="s">
        <v>81</v>
      </c>
      <c r="H25" s="25" t="s">
        <v>82</v>
      </c>
      <c r="I25" s="26" t="s">
        <v>38</v>
      </c>
      <c r="J25" s="29"/>
      <c r="K25" s="29"/>
      <c r="L25" s="29"/>
      <c r="M25" s="29" t="s">
        <v>148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customFormat="false" ht="45" hidden="false" customHeight="true" outlineLevel="0" collapsed="false">
      <c r="A26" s="27" t="s">
        <v>149</v>
      </c>
      <c r="B26" s="28" t="s">
        <v>75</v>
      </c>
      <c r="C26" s="29" t="s">
        <v>134</v>
      </c>
      <c r="D26" s="29" t="s">
        <v>150</v>
      </c>
      <c r="E26" s="34" t="s">
        <v>93</v>
      </c>
      <c r="F26" s="29" t="s">
        <v>80</v>
      </c>
      <c r="G26" s="29" t="s">
        <v>81</v>
      </c>
      <c r="H26" s="25" t="s">
        <v>89</v>
      </c>
      <c r="I26" s="26" t="s">
        <v>38</v>
      </c>
      <c r="J26" s="29"/>
      <c r="K26" s="29"/>
      <c r="L26" s="29"/>
      <c r="M26" s="29" t="s">
        <v>151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customFormat="false" ht="45" hidden="false" customHeight="true" outlineLevel="0" collapsed="false">
      <c r="A27" s="21" t="s">
        <v>152</v>
      </c>
      <c r="B27" s="22" t="s">
        <v>75</v>
      </c>
      <c r="C27" s="23" t="s">
        <v>77</v>
      </c>
      <c r="D27" s="23" t="s">
        <v>153</v>
      </c>
      <c r="E27" s="36" t="s">
        <v>93</v>
      </c>
      <c r="F27" s="23" t="s">
        <v>80</v>
      </c>
      <c r="G27" s="23" t="s">
        <v>81</v>
      </c>
      <c r="H27" s="25" t="s">
        <v>82</v>
      </c>
      <c r="I27" s="26" t="s">
        <v>38</v>
      </c>
      <c r="J27" s="23"/>
      <c r="K27" s="23"/>
      <c r="L27" s="23"/>
      <c r="M27" s="23" t="s">
        <v>154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customFormat="false" ht="45" hidden="false" customHeight="true" outlineLevel="0" collapsed="false">
      <c r="A28" s="27" t="s">
        <v>155</v>
      </c>
      <c r="B28" s="28" t="s">
        <v>75</v>
      </c>
      <c r="C28" s="29" t="s">
        <v>152</v>
      </c>
      <c r="D28" s="29" t="s">
        <v>156</v>
      </c>
      <c r="E28" s="34" t="s">
        <v>93</v>
      </c>
      <c r="F28" s="29" t="s">
        <v>80</v>
      </c>
      <c r="G28" s="29" t="s">
        <v>81</v>
      </c>
      <c r="H28" s="25" t="s">
        <v>82</v>
      </c>
      <c r="I28" s="26" t="s">
        <v>38</v>
      </c>
      <c r="J28" s="29"/>
      <c r="K28" s="29"/>
      <c r="L28" s="29"/>
      <c r="M28" s="29" t="s">
        <v>157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customFormat="false" ht="18" hidden="false" customHeight="true" outlineLevel="0" collapsed="false">
      <c r="A29" s="37" t="s">
        <v>158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customFormat="false" ht="45" hidden="false" customHeight="true" outlineLevel="0" collapsed="false">
      <c r="A30" s="38" t="s">
        <v>159</v>
      </c>
      <c r="B30" s="31" t="s">
        <v>158</v>
      </c>
      <c r="C30" s="32" t="s">
        <v>160</v>
      </c>
      <c r="D30" s="32" t="s">
        <v>161</v>
      </c>
      <c r="E30" s="39" t="s">
        <v>79</v>
      </c>
      <c r="F30" s="32" t="s">
        <v>80</v>
      </c>
      <c r="G30" s="32" t="s">
        <v>81</v>
      </c>
      <c r="H30" s="25" t="s">
        <v>82</v>
      </c>
      <c r="I30" s="26" t="s">
        <v>38</v>
      </c>
      <c r="J30" s="32"/>
      <c r="K30" s="32"/>
      <c r="L30" s="32"/>
      <c r="M30" s="32" t="s">
        <v>162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customFormat="false" ht="45" hidden="false" customHeight="true" outlineLevel="0" collapsed="false">
      <c r="A31" s="40" t="s">
        <v>163</v>
      </c>
      <c r="B31" s="28" t="s">
        <v>158</v>
      </c>
      <c r="C31" s="29" t="s">
        <v>159</v>
      </c>
      <c r="D31" s="29" t="s">
        <v>164</v>
      </c>
      <c r="E31" s="30" t="s">
        <v>79</v>
      </c>
      <c r="F31" s="29" t="s">
        <v>80</v>
      </c>
      <c r="G31" s="29" t="s">
        <v>81</v>
      </c>
      <c r="H31" s="25" t="s">
        <v>82</v>
      </c>
      <c r="I31" s="26" t="s">
        <v>38</v>
      </c>
      <c r="J31" s="29"/>
      <c r="K31" s="29"/>
      <c r="L31" s="29"/>
      <c r="M31" s="29" t="s">
        <v>165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customFormat="false" ht="45" hidden="false" customHeight="true" outlineLevel="0" collapsed="false">
      <c r="A32" s="40" t="s">
        <v>166</v>
      </c>
      <c r="B32" s="28" t="s">
        <v>158</v>
      </c>
      <c r="C32" s="29" t="s">
        <v>159</v>
      </c>
      <c r="D32" s="29" t="s">
        <v>167</v>
      </c>
      <c r="E32" s="30" t="s">
        <v>79</v>
      </c>
      <c r="F32" s="29" t="s">
        <v>80</v>
      </c>
      <c r="G32" s="29" t="s">
        <v>81</v>
      </c>
      <c r="H32" s="25" t="s">
        <v>89</v>
      </c>
      <c r="I32" s="26" t="s">
        <v>38</v>
      </c>
      <c r="J32" s="29"/>
      <c r="K32" s="29"/>
      <c r="L32" s="29"/>
      <c r="M32" s="29" t="s">
        <v>168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customFormat="false" ht="45" hidden="false" customHeight="true" outlineLevel="0" collapsed="false">
      <c r="A33" s="38" t="s">
        <v>169</v>
      </c>
      <c r="B33" s="22" t="s">
        <v>158</v>
      </c>
      <c r="C33" s="23" t="s">
        <v>160</v>
      </c>
      <c r="D33" s="23" t="s">
        <v>170</v>
      </c>
      <c r="E33" s="36" t="s">
        <v>93</v>
      </c>
      <c r="F33" s="23" t="s">
        <v>80</v>
      </c>
      <c r="G33" s="23" t="s">
        <v>81</v>
      </c>
      <c r="H33" s="25" t="s">
        <v>82</v>
      </c>
      <c r="I33" s="26" t="s">
        <v>38</v>
      </c>
      <c r="J33" s="23"/>
      <c r="K33" s="23"/>
      <c r="L33" s="23"/>
      <c r="M33" s="23" t="s">
        <v>171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customFormat="false" ht="45" hidden="false" customHeight="true" outlineLevel="0" collapsed="false">
      <c r="A34" s="40" t="s">
        <v>172</v>
      </c>
      <c r="B34" s="28" t="s">
        <v>158</v>
      </c>
      <c r="C34" s="29" t="s">
        <v>169</v>
      </c>
      <c r="D34" s="29" t="s">
        <v>173</v>
      </c>
      <c r="E34" s="34" t="s">
        <v>93</v>
      </c>
      <c r="F34" s="29" t="s">
        <v>80</v>
      </c>
      <c r="G34" s="29" t="s">
        <v>81</v>
      </c>
      <c r="H34" s="25" t="s">
        <v>82</v>
      </c>
      <c r="I34" s="26" t="s">
        <v>38</v>
      </c>
      <c r="J34" s="29"/>
      <c r="K34" s="29"/>
      <c r="L34" s="29"/>
      <c r="M34" s="29" t="s">
        <v>174</v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customFormat="false" ht="45" hidden="false" customHeight="true" outlineLevel="0" collapsed="false">
      <c r="A35" s="40" t="s">
        <v>175</v>
      </c>
      <c r="B35" s="28" t="s">
        <v>158</v>
      </c>
      <c r="C35" s="29" t="s">
        <v>169</v>
      </c>
      <c r="D35" s="29" t="s">
        <v>176</v>
      </c>
      <c r="E35" s="34" t="s">
        <v>93</v>
      </c>
      <c r="F35" s="29" t="s">
        <v>80</v>
      </c>
      <c r="G35" s="29" t="s">
        <v>177</v>
      </c>
      <c r="H35" s="25" t="s">
        <v>82</v>
      </c>
      <c r="I35" s="26" t="s">
        <v>38</v>
      </c>
      <c r="J35" s="29"/>
      <c r="K35" s="29"/>
      <c r="L35" s="29"/>
      <c r="M35" s="29" t="s">
        <v>178</v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customFormat="false" ht="45" hidden="false" customHeight="true" outlineLevel="0" collapsed="false">
      <c r="A36" s="40" t="s">
        <v>179</v>
      </c>
      <c r="B36" s="28" t="s">
        <v>158</v>
      </c>
      <c r="C36" s="29" t="s">
        <v>169</v>
      </c>
      <c r="D36" s="29" t="s">
        <v>180</v>
      </c>
      <c r="E36" s="34" t="s">
        <v>93</v>
      </c>
      <c r="F36" s="29" t="s">
        <v>80</v>
      </c>
      <c r="G36" s="29" t="s">
        <v>81</v>
      </c>
      <c r="H36" s="25" t="s">
        <v>82</v>
      </c>
      <c r="I36" s="26" t="s">
        <v>38</v>
      </c>
      <c r="J36" s="29"/>
      <c r="K36" s="29"/>
      <c r="L36" s="29"/>
      <c r="M36" s="29" t="s">
        <v>181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customFormat="false" ht="45" hidden="false" customHeight="true" outlineLevel="0" collapsed="false">
      <c r="A37" s="40" t="s">
        <v>182</v>
      </c>
      <c r="B37" s="28" t="s">
        <v>158</v>
      </c>
      <c r="C37" s="29" t="s">
        <v>169</v>
      </c>
      <c r="D37" s="29" t="s">
        <v>183</v>
      </c>
      <c r="E37" s="34" t="s">
        <v>93</v>
      </c>
      <c r="F37" s="29" t="s">
        <v>80</v>
      </c>
      <c r="G37" s="29" t="s">
        <v>81</v>
      </c>
      <c r="H37" s="25" t="s">
        <v>82</v>
      </c>
      <c r="I37" s="26" t="s">
        <v>38</v>
      </c>
      <c r="J37" s="29"/>
      <c r="K37" s="29"/>
      <c r="L37" s="29"/>
      <c r="M37" s="29" t="s">
        <v>184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customFormat="false" ht="45" hidden="false" customHeight="true" outlineLevel="0" collapsed="false">
      <c r="A38" s="40" t="s">
        <v>185</v>
      </c>
      <c r="B38" s="28" t="s">
        <v>158</v>
      </c>
      <c r="C38" s="29" t="s">
        <v>169</v>
      </c>
      <c r="D38" s="29" t="s">
        <v>186</v>
      </c>
      <c r="E38" s="34" t="s">
        <v>93</v>
      </c>
      <c r="F38" s="29" t="s">
        <v>80</v>
      </c>
      <c r="G38" s="29" t="s">
        <v>81</v>
      </c>
      <c r="H38" s="25" t="s">
        <v>82</v>
      </c>
      <c r="I38" s="26" t="s">
        <v>38</v>
      </c>
      <c r="J38" s="29"/>
      <c r="K38" s="29"/>
      <c r="L38" s="29"/>
      <c r="M38" s="29" t="s">
        <v>187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customFormat="false" ht="45" hidden="false" customHeight="true" outlineLevel="0" collapsed="false">
      <c r="A39" s="40" t="s">
        <v>188</v>
      </c>
      <c r="B39" s="28" t="s">
        <v>158</v>
      </c>
      <c r="C39" s="29" t="s">
        <v>169</v>
      </c>
      <c r="D39" s="29" t="s">
        <v>189</v>
      </c>
      <c r="E39" s="34" t="s">
        <v>93</v>
      </c>
      <c r="F39" s="29" t="s">
        <v>80</v>
      </c>
      <c r="G39" s="29" t="s">
        <v>81</v>
      </c>
      <c r="H39" s="25" t="s">
        <v>82</v>
      </c>
      <c r="I39" s="26" t="s">
        <v>38</v>
      </c>
      <c r="J39" s="29"/>
      <c r="K39" s="29"/>
      <c r="L39" s="29"/>
      <c r="M39" s="29" t="s">
        <v>190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customFormat="false" ht="45" hidden="false" customHeight="true" outlineLevel="0" collapsed="false">
      <c r="A40" s="40" t="s">
        <v>191</v>
      </c>
      <c r="B40" s="28" t="s">
        <v>158</v>
      </c>
      <c r="C40" s="29" t="s">
        <v>169</v>
      </c>
      <c r="D40" s="29" t="s">
        <v>192</v>
      </c>
      <c r="E40" s="34" t="s">
        <v>93</v>
      </c>
      <c r="F40" s="29" t="s">
        <v>80</v>
      </c>
      <c r="G40" s="29" t="s">
        <v>81</v>
      </c>
      <c r="H40" s="25" t="s">
        <v>82</v>
      </c>
      <c r="I40" s="26" t="s">
        <v>38</v>
      </c>
      <c r="J40" s="29"/>
      <c r="K40" s="29"/>
      <c r="L40" s="29"/>
      <c r="M40" s="29" t="s">
        <v>193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customFormat="false" ht="45" hidden="false" customHeight="true" outlineLevel="0" collapsed="false">
      <c r="A41" s="38" t="s">
        <v>194</v>
      </c>
      <c r="B41" s="22" t="s">
        <v>158</v>
      </c>
      <c r="C41" s="23" t="s">
        <v>160</v>
      </c>
      <c r="D41" s="23" t="s">
        <v>195</v>
      </c>
      <c r="E41" s="36" t="s">
        <v>93</v>
      </c>
      <c r="F41" s="23" t="s">
        <v>80</v>
      </c>
      <c r="G41" s="23" t="s">
        <v>81</v>
      </c>
      <c r="H41" s="25" t="s">
        <v>82</v>
      </c>
      <c r="I41" s="26" t="s">
        <v>38</v>
      </c>
      <c r="J41" s="23"/>
      <c r="K41" s="23"/>
      <c r="L41" s="23"/>
      <c r="M41" s="23" t="s">
        <v>196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customFormat="false" ht="45" hidden="false" customHeight="true" outlineLevel="0" collapsed="false">
      <c r="A42" s="40" t="s">
        <v>197</v>
      </c>
      <c r="B42" s="28" t="s">
        <v>158</v>
      </c>
      <c r="C42" s="29" t="s">
        <v>194</v>
      </c>
      <c r="D42" s="29" t="s">
        <v>198</v>
      </c>
      <c r="E42" s="34" t="s">
        <v>93</v>
      </c>
      <c r="F42" s="29" t="s">
        <v>80</v>
      </c>
      <c r="G42" s="29" t="s">
        <v>177</v>
      </c>
      <c r="H42" s="25" t="s">
        <v>82</v>
      </c>
      <c r="I42" s="26" t="s">
        <v>38</v>
      </c>
      <c r="J42" s="29"/>
      <c r="K42" s="29"/>
      <c r="L42" s="29"/>
      <c r="M42" s="29" t="s">
        <v>199</v>
      </c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customFormat="false" ht="45" hidden="false" customHeight="true" outlineLevel="0" collapsed="false">
      <c r="A43" s="40" t="s">
        <v>200</v>
      </c>
      <c r="B43" s="28" t="s">
        <v>158</v>
      </c>
      <c r="C43" s="29" t="s">
        <v>194</v>
      </c>
      <c r="D43" s="29" t="s">
        <v>201</v>
      </c>
      <c r="E43" s="34" t="s">
        <v>93</v>
      </c>
      <c r="F43" s="29" t="s">
        <v>80</v>
      </c>
      <c r="G43" s="29" t="s">
        <v>202</v>
      </c>
      <c r="H43" s="25" t="s">
        <v>82</v>
      </c>
      <c r="I43" s="26" t="s">
        <v>38</v>
      </c>
      <c r="J43" s="29"/>
      <c r="K43" s="29"/>
      <c r="L43" s="29"/>
      <c r="M43" s="29" t="s">
        <v>203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customFormat="false" ht="18" hidden="false" customHeight="true" outlineLevel="0" collapsed="false">
      <c r="A44" s="41" t="s">
        <v>204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customFormat="false" ht="45" hidden="false" customHeight="true" outlineLevel="0" collapsed="false">
      <c r="A45" s="42" t="s">
        <v>205</v>
      </c>
      <c r="B45" s="22" t="s">
        <v>204</v>
      </c>
      <c r="C45" s="23" t="s">
        <v>206</v>
      </c>
      <c r="D45" s="23" t="s">
        <v>207</v>
      </c>
      <c r="E45" s="24" t="s">
        <v>79</v>
      </c>
      <c r="F45" s="23" t="s">
        <v>80</v>
      </c>
      <c r="G45" s="23" t="s">
        <v>81</v>
      </c>
      <c r="H45" s="25" t="s">
        <v>82</v>
      </c>
      <c r="I45" s="26" t="s">
        <v>38</v>
      </c>
      <c r="J45" s="23"/>
      <c r="K45" s="23"/>
      <c r="L45" s="23"/>
      <c r="M45" s="23" t="s">
        <v>208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customFormat="false" ht="45" hidden="false" customHeight="true" outlineLevel="0" collapsed="false">
      <c r="A46" s="43" t="s">
        <v>209</v>
      </c>
      <c r="B46" s="28" t="s">
        <v>204</v>
      </c>
      <c r="C46" s="29" t="s">
        <v>205</v>
      </c>
      <c r="D46" s="29" t="s">
        <v>210</v>
      </c>
      <c r="E46" s="30" t="s">
        <v>79</v>
      </c>
      <c r="F46" s="29" t="s">
        <v>80</v>
      </c>
      <c r="G46" s="29" t="s">
        <v>81</v>
      </c>
      <c r="H46" s="25" t="s">
        <v>82</v>
      </c>
      <c r="I46" s="26" t="s">
        <v>38</v>
      </c>
      <c r="J46" s="29"/>
      <c r="K46" s="29"/>
      <c r="L46" s="29"/>
      <c r="M46" s="29" t="s">
        <v>211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customFormat="false" ht="45" hidden="false" customHeight="true" outlineLevel="0" collapsed="false">
      <c r="A47" s="43" t="s">
        <v>212</v>
      </c>
      <c r="B47" s="28" t="s">
        <v>204</v>
      </c>
      <c r="C47" s="29" t="s">
        <v>205</v>
      </c>
      <c r="D47" s="29" t="s">
        <v>213</v>
      </c>
      <c r="E47" s="30" t="s">
        <v>79</v>
      </c>
      <c r="F47" s="29" t="s">
        <v>80</v>
      </c>
      <c r="G47" s="29" t="s">
        <v>81</v>
      </c>
      <c r="H47" s="25" t="s">
        <v>89</v>
      </c>
      <c r="I47" s="26" t="s">
        <v>38</v>
      </c>
      <c r="J47" s="29"/>
      <c r="K47" s="29"/>
      <c r="L47" s="29"/>
      <c r="M47" s="29" t="s">
        <v>214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customFormat="false" ht="45" hidden="false" customHeight="true" outlineLevel="0" collapsed="false">
      <c r="A48" s="42" t="s">
        <v>215</v>
      </c>
      <c r="B48" s="31" t="s">
        <v>204</v>
      </c>
      <c r="C48" s="32" t="s">
        <v>206</v>
      </c>
      <c r="D48" s="32" t="s">
        <v>216</v>
      </c>
      <c r="E48" s="44" t="s">
        <v>104</v>
      </c>
      <c r="F48" s="32" t="s">
        <v>80</v>
      </c>
      <c r="G48" s="32" t="s">
        <v>81</v>
      </c>
      <c r="H48" s="25" t="s">
        <v>82</v>
      </c>
      <c r="I48" s="26" t="s">
        <v>38</v>
      </c>
      <c r="J48" s="32"/>
      <c r="K48" s="32"/>
      <c r="L48" s="32"/>
      <c r="M48" s="32" t="s">
        <v>217</v>
      </c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customFormat="false" ht="45" hidden="false" customHeight="true" outlineLevel="0" collapsed="false">
      <c r="A49" s="43" t="s">
        <v>218</v>
      </c>
      <c r="B49" s="28" t="s">
        <v>204</v>
      </c>
      <c r="C49" s="29" t="s">
        <v>215</v>
      </c>
      <c r="D49" s="29" t="s">
        <v>219</v>
      </c>
      <c r="E49" s="35" t="s">
        <v>104</v>
      </c>
      <c r="F49" s="29" t="s">
        <v>80</v>
      </c>
      <c r="G49" s="29" t="s">
        <v>220</v>
      </c>
      <c r="H49" s="25" t="s">
        <v>82</v>
      </c>
      <c r="I49" s="26" t="s">
        <v>38</v>
      </c>
      <c r="J49" s="29"/>
      <c r="K49" s="29"/>
      <c r="L49" s="29"/>
      <c r="M49" s="29" t="s">
        <v>221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customFormat="false" ht="45" hidden="false" customHeight="true" outlineLevel="0" collapsed="false">
      <c r="A50" s="42" t="s">
        <v>222</v>
      </c>
      <c r="B50" s="31" t="s">
        <v>204</v>
      </c>
      <c r="C50" s="32" t="s">
        <v>206</v>
      </c>
      <c r="D50" s="32" t="s">
        <v>223</v>
      </c>
      <c r="E50" s="44" t="s">
        <v>104</v>
      </c>
      <c r="F50" s="32" t="s">
        <v>80</v>
      </c>
      <c r="G50" s="32" t="s">
        <v>81</v>
      </c>
      <c r="H50" s="25" t="s">
        <v>224</v>
      </c>
      <c r="I50" s="26" t="s">
        <v>38</v>
      </c>
      <c r="J50" s="32"/>
      <c r="K50" s="32"/>
      <c r="L50" s="32"/>
      <c r="M50" s="32" t="s">
        <v>225</v>
      </c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customFormat="false" ht="45" hidden="false" customHeight="true" outlineLevel="0" collapsed="false">
      <c r="A51" s="43" t="s">
        <v>226</v>
      </c>
      <c r="B51" s="28" t="s">
        <v>204</v>
      </c>
      <c r="C51" s="29" t="s">
        <v>222</v>
      </c>
      <c r="D51" s="29" t="s">
        <v>227</v>
      </c>
      <c r="E51" s="35" t="s">
        <v>104</v>
      </c>
      <c r="F51" s="29" t="s">
        <v>80</v>
      </c>
      <c r="G51" s="29" t="s">
        <v>81</v>
      </c>
      <c r="H51" s="25" t="s">
        <v>224</v>
      </c>
      <c r="I51" s="26" t="s">
        <v>38</v>
      </c>
      <c r="J51" s="29"/>
      <c r="K51" s="29"/>
      <c r="L51" s="29"/>
      <c r="M51" s="29" t="s">
        <v>228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customFormat="false" ht="45" hidden="false" customHeight="true" outlineLevel="0" collapsed="false">
      <c r="A52" s="43" t="s">
        <v>229</v>
      </c>
      <c r="B52" s="28" t="s">
        <v>204</v>
      </c>
      <c r="C52" s="29" t="s">
        <v>226</v>
      </c>
      <c r="D52" s="29" t="s">
        <v>230</v>
      </c>
      <c r="E52" s="35" t="s">
        <v>104</v>
      </c>
      <c r="F52" s="29" t="s">
        <v>80</v>
      </c>
      <c r="G52" s="29" t="s">
        <v>81</v>
      </c>
      <c r="H52" s="25" t="s">
        <v>224</v>
      </c>
      <c r="I52" s="26" t="s">
        <v>38</v>
      </c>
      <c r="J52" s="29"/>
      <c r="K52" s="29"/>
      <c r="L52" s="29"/>
      <c r="M52" s="29" t="s">
        <v>231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customFormat="false" ht="45" hidden="false" customHeight="true" outlineLevel="0" collapsed="false">
      <c r="A53" s="43" t="s">
        <v>232</v>
      </c>
      <c r="B53" s="28" t="s">
        <v>204</v>
      </c>
      <c r="C53" s="29" t="s">
        <v>226</v>
      </c>
      <c r="D53" s="29" t="s">
        <v>233</v>
      </c>
      <c r="E53" s="35" t="s">
        <v>104</v>
      </c>
      <c r="F53" s="29" t="s">
        <v>80</v>
      </c>
      <c r="G53" s="29" t="s">
        <v>81</v>
      </c>
      <c r="H53" s="25" t="s">
        <v>224</v>
      </c>
      <c r="I53" s="26" t="s">
        <v>38</v>
      </c>
      <c r="J53" s="29"/>
      <c r="K53" s="29"/>
      <c r="L53" s="29"/>
      <c r="M53" s="29" t="s">
        <v>234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customFormat="false" ht="45" hidden="false" customHeight="true" outlineLevel="0" collapsed="false">
      <c r="A54" s="43" t="s">
        <v>235</v>
      </c>
      <c r="B54" s="28" t="s">
        <v>204</v>
      </c>
      <c r="C54" s="29" t="s">
        <v>226</v>
      </c>
      <c r="D54" s="29" t="s">
        <v>236</v>
      </c>
      <c r="E54" s="35" t="s">
        <v>104</v>
      </c>
      <c r="F54" s="29" t="s">
        <v>80</v>
      </c>
      <c r="G54" s="29" t="s">
        <v>81</v>
      </c>
      <c r="H54" s="25" t="s">
        <v>224</v>
      </c>
      <c r="I54" s="26" t="s">
        <v>38</v>
      </c>
      <c r="J54" s="29"/>
      <c r="K54" s="29"/>
      <c r="L54" s="29"/>
      <c r="M54" s="29" t="s">
        <v>237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customFormat="false" ht="45" hidden="false" customHeight="true" outlineLevel="0" collapsed="false">
      <c r="A55" s="43" t="s">
        <v>238</v>
      </c>
      <c r="B55" s="28" t="s">
        <v>204</v>
      </c>
      <c r="C55" s="29" t="s">
        <v>222</v>
      </c>
      <c r="D55" s="29" t="s">
        <v>239</v>
      </c>
      <c r="E55" s="35" t="s">
        <v>104</v>
      </c>
      <c r="F55" s="29" t="s">
        <v>80</v>
      </c>
      <c r="G55" s="29" t="s">
        <v>81</v>
      </c>
      <c r="H55" s="25" t="s">
        <v>224</v>
      </c>
      <c r="I55" s="26" t="s">
        <v>38</v>
      </c>
      <c r="J55" s="29"/>
      <c r="K55" s="29"/>
      <c r="L55" s="29"/>
      <c r="M55" s="29" t="s">
        <v>240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customFormat="false" ht="45" hidden="false" customHeight="true" outlineLevel="0" collapsed="false">
      <c r="A56" s="43" t="s">
        <v>241</v>
      </c>
      <c r="B56" s="28" t="s">
        <v>204</v>
      </c>
      <c r="C56" s="29" t="s">
        <v>222</v>
      </c>
      <c r="D56" s="29" t="s">
        <v>242</v>
      </c>
      <c r="E56" s="35" t="s">
        <v>104</v>
      </c>
      <c r="F56" s="29" t="s">
        <v>243</v>
      </c>
      <c r="G56" s="29" t="s">
        <v>81</v>
      </c>
      <c r="H56" s="25" t="s">
        <v>224</v>
      </c>
      <c r="I56" s="26" t="s">
        <v>38</v>
      </c>
      <c r="J56" s="29"/>
      <c r="K56" s="29"/>
      <c r="L56" s="29"/>
      <c r="M56" s="29" t="s">
        <v>244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customFormat="false" ht="45" hidden="false" customHeight="true" outlineLevel="0" collapsed="false">
      <c r="A57" s="42" t="s">
        <v>245</v>
      </c>
      <c r="B57" s="22" t="s">
        <v>204</v>
      </c>
      <c r="C57" s="23" t="s">
        <v>206</v>
      </c>
      <c r="D57" s="23" t="s">
        <v>246</v>
      </c>
      <c r="E57" s="45" t="s">
        <v>247</v>
      </c>
      <c r="F57" s="23" t="s">
        <v>80</v>
      </c>
      <c r="G57" s="23" t="s">
        <v>81</v>
      </c>
      <c r="H57" s="25" t="s">
        <v>82</v>
      </c>
      <c r="I57" s="26" t="s">
        <v>38</v>
      </c>
      <c r="J57" s="23"/>
      <c r="K57" s="23"/>
      <c r="L57" s="23"/>
      <c r="M57" s="23" t="s">
        <v>248</v>
      </c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customFormat="false" ht="45" hidden="false" customHeight="true" outlineLevel="0" collapsed="false">
      <c r="A58" s="43" t="s">
        <v>249</v>
      </c>
      <c r="B58" s="28" t="s">
        <v>204</v>
      </c>
      <c r="C58" s="29" t="s">
        <v>245</v>
      </c>
      <c r="D58" s="29" t="s">
        <v>250</v>
      </c>
      <c r="E58" s="46" t="s">
        <v>247</v>
      </c>
      <c r="F58" s="29" t="s">
        <v>80</v>
      </c>
      <c r="G58" s="29" t="s">
        <v>81</v>
      </c>
      <c r="H58" s="25" t="s">
        <v>82</v>
      </c>
      <c r="I58" s="26" t="s">
        <v>38</v>
      </c>
      <c r="J58" s="29"/>
      <c r="K58" s="29"/>
      <c r="L58" s="29"/>
      <c r="M58" s="29" t="s">
        <v>251</v>
      </c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customFormat="false" ht="45" hidden="false" customHeight="true" outlineLevel="0" collapsed="false">
      <c r="A59" s="43" t="s">
        <v>252</v>
      </c>
      <c r="B59" s="28" t="s">
        <v>204</v>
      </c>
      <c r="C59" s="29" t="s">
        <v>245</v>
      </c>
      <c r="D59" s="29" t="s">
        <v>253</v>
      </c>
      <c r="E59" s="46" t="s">
        <v>247</v>
      </c>
      <c r="F59" s="29" t="s">
        <v>80</v>
      </c>
      <c r="G59" s="29" t="s">
        <v>81</v>
      </c>
      <c r="H59" s="25" t="s">
        <v>82</v>
      </c>
      <c r="I59" s="26" t="s">
        <v>38</v>
      </c>
      <c r="J59" s="29"/>
      <c r="K59" s="29"/>
      <c r="L59" s="29"/>
      <c r="M59" s="29" t="s">
        <v>254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customFormat="false" ht="45" hidden="false" customHeight="true" outlineLevel="0" collapsed="false">
      <c r="A60" s="42" t="s">
        <v>255</v>
      </c>
      <c r="B60" s="31" t="s">
        <v>204</v>
      </c>
      <c r="C60" s="32" t="s">
        <v>206</v>
      </c>
      <c r="D60" s="32" t="s">
        <v>256</v>
      </c>
      <c r="E60" s="47" t="s">
        <v>247</v>
      </c>
      <c r="F60" s="32" t="s">
        <v>80</v>
      </c>
      <c r="G60" s="32" t="s">
        <v>81</v>
      </c>
      <c r="H60" s="25" t="s">
        <v>224</v>
      </c>
      <c r="I60" s="26" t="s">
        <v>38</v>
      </c>
      <c r="J60" s="32"/>
      <c r="K60" s="32"/>
      <c r="L60" s="32"/>
      <c r="M60" s="32" t="s">
        <v>257</v>
      </c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customFormat="false" ht="45" hidden="false" customHeight="true" outlineLevel="0" collapsed="false">
      <c r="A61" s="43" t="s">
        <v>258</v>
      </c>
      <c r="B61" s="28" t="s">
        <v>204</v>
      </c>
      <c r="C61" s="29" t="s">
        <v>255</v>
      </c>
      <c r="D61" s="29" t="s">
        <v>259</v>
      </c>
      <c r="E61" s="46" t="s">
        <v>247</v>
      </c>
      <c r="F61" s="29" t="s">
        <v>80</v>
      </c>
      <c r="G61" s="29" t="s">
        <v>81</v>
      </c>
      <c r="H61" s="25" t="s">
        <v>224</v>
      </c>
      <c r="I61" s="26" t="s">
        <v>38</v>
      </c>
      <c r="J61" s="29"/>
      <c r="K61" s="29"/>
      <c r="L61" s="29"/>
      <c r="M61" s="29" t="s">
        <v>260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customFormat="false" ht="45" hidden="false" customHeight="true" outlineLevel="0" collapsed="false">
      <c r="A62" s="43" t="s">
        <v>261</v>
      </c>
      <c r="B62" s="28" t="s">
        <v>204</v>
      </c>
      <c r="C62" s="29" t="s">
        <v>258</v>
      </c>
      <c r="D62" s="29" t="s">
        <v>262</v>
      </c>
      <c r="E62" s="46" t="s">
        <v>247</v>
      </c>
      <c r="F62" s="29" t="s">
        <v>80</v>
      </c>
      <c r="G62" s="29" t="s">
        <v>81</v>
      </c>
      <c r="H62" s="25" t="s">
        <v>224</v>
      </c>
      <c r="I62" s="26" t="s">
        <v>38</v>
      </c>
      <c r="J62" s="29"/>
      <c r="K62" s="29"/>
      <c r="L62" s="29"/>
      <c r="M62" s="29" t="s">
        <v>263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customFormat="false" ht="45" hidden="false" customHeight="true" outlineLevel="0" collapsed="false">
      <c r="A63" s="43" t="s">
        <v>264</v>
      </c>
      <c r="B63" s="28" t="s">
        <v>204</v>
      </c>
      <c r="C63" s="29" t="s">
        <v>258</v>
      </c>
      <c r="D63" s="29" t="s">
        <v>265</v>
      </c>
      <c r="E63" s="46" t="s">
        <v>247</v>
      </c>
      <c r="F63" s="29" t="s">
        <v>80</v>
      </c>
      <c r="G63" s="29" t="s">
        <v>81</v>
      </c>
      <c r="H63" s="25" t="s">
        <v>82</v>
      </c>
      <c r="I63" s="26" t="s">
        <v>38</v>
      </c>
      <c r="J63" s="29"/>
      <c r="K63" s="29"/>
      <c r="L63" s="29"/>
      <c r="M63" s="29" t="s">
        <v>266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customFormat="false" ht="45" hidden="false" customHeight="true" outlineLevel="0" collapsed="false">
      <c r="A64" s="43" t="s">
        <v>267</v>
      </c>
      <c r="B64" s="28" t="s">
        <v>204</v>
      </c>
      <c r="C64" s="29" t="s">
        <v>258</v>
      </c>
      <c r="D64" s="29" t="s">
        <v>268</v>
      </c>
      <c r="E64" s="46" t="s">
        <v>247</v>
      </c>
      <c r="F64" s="29" t="s">
        <v>80</v>
      </c>
      <c r="G64" s="29" t="s">
        <v>81</v>
      </c>
      <c r="H64" s="25" t="s">
        <v>82</v>
      </c>
      <c r="I64" s="26" t="s">
        <v>38</v>
      </c>
      <c r="J64" s="29"/>
      <c r="K64" s="29"/>
      <c r="L64" s="29"/>
      <c r="M64" s="29" t="s">
        <v>269</v>
      </c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customFormat="false" ht="45" hidden="false" customHeight="true" outlineLevel="0" collapsed="false">
      <c r="A65" s="42" t="s">
        <v>270</v>
      </c>
      <c r="B65" s="22" t="s">
        <v>204</v>
      </c>
      <c r="C65" s="23" t="s">
        <v>206</v>
      </c>
      <c r="D65" s="23" t="s">
        <v>271</v>
      </c>
      <c r="E65" s="45" t="s">
        <v>247</v>
      </c>
      <c r="F65" s="23" t="s">
        <v>80</v>
      </c>
      <c r="G65" s="23" t="s">
        <v>81</v>
      </c>
      <c r="H65" s="25" t="s">
        <v>224</v>
      </c>
      <c r="I65" s="26" t="s">
        <v>38</v>
      </c>
      <c r="J65" s="23"/>
      <c r="K65" s="23"/>
      <c r="L65" s="23"/>
      <c r="M65" s="23" t="s">
        <v>272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customFormat="false" ht="45" hidden="false" customHeight="true" outlineLevel="0" collapsed="false">
      <c r="A66" s="43" t="s">
        <v>273</v>
      </c>
      <c r="B66" s="28" t="s">
        <v>204</v>
      </c>
      <c r="C66" s="29" t="s">
        <v>270</v>
      </c>
      <c r="D66" s="29" t="s">
        <v>274</v>
      </c>
      <c r="E66" s="46" t="s">
        <v>247</v>
      </c>
      <c r="F66" s="29" t="s">
        <v>80</v>
      </c>
      <c r="G66" s="29" t="s">
        <v>81</v>
      </c>
      <c r="H66" s="25" t="s">
        <v>224</v>
      </c>
      <c r="I66" s="26" t="s">
        <v>38</v>
      </c>
      <c r="J66" s="29"/>
      <c r="K66" s="29"/>
      <c r="L66" s="29"/>
      <c r="M66" s="29" t="s">
        <v>275</v>
      </c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customFormat="false" ht="45" hidden="false" customHeight="true" outlineLevel="0" collapsed="false">
      <c r="A67" s="43" t="s">
        <v>276</v>
      </c>
      <c r="B67" s="28" t="s">
        <v>204</v>
      </c>
      <c r="C67" s="29" t="s">
        <v>273</v>
      </c>
      <c r="D67" s="29" t="s">
        <v>277</v>
      </c>
      <c r="E67" s="46" t="s">
        <v>247</v>
      </c>
      <c r="F67" s="29" t="s">
        <v>278</v>
      </c>
      <c r="G67" s="29" t="s">
        <v>81</v>
      </c>
      <c r="H67" s="25" t="s">
        <v>82</v>
      </c>
      <c r="I67" s="26" t="s">
        <v>38</v>
      </c>
      <c r="J67" s="29"/>
      <c r="K67" s="29"/>
      <c r="L67" s="29"/>
      <c r="M67" s="29" t="s">
        <v>279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customFormat="false" ht="45" hidden="false" customHeight="true" outlineLevel="0" collapsed="false">
      <c r="A68" s="43" t="s">
        <v>280</v>
      </c>
      <c r="B68" s="28" t="s">
        <v>204</v>
      </c>
      <c r="C68" s="29" t="s">
        <v>273</v>
      </c>
      <c r="D68" s="29" t="s">
        <v>281</v>
      </c>
      <c r="E68" s="46" t="s">
        <v>247</v>
      </c>
      <c r="F68" s="29" t="s">
        <v>80</v>
      </c>
      <c r="G68" s="29" t="s">
        <v>81</v>
      </c>
      <c r="H68" s="25" t="s">
        <v>224</v>
      </c>
      <c r="I68" s="26" t="s">
        <v>38</v>
      </c>
      <c r="J68" s="29"/>
      <c r="K68" s="29"/>
      <c r="L68" s="29"/>
      <c r="M68" s="29" t="s">
        <v>282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customFormat="false" ht="45" hidden="false" customHeight="true" outlineLevel="0" collapsed="false">
      <c r="A69" s="43" t="s">
        <v>283</v>
      </c>
      <c r="B69" s="28" t="s">
        <v>204</v>
      </c>
      <c r="C69" s="29" t="s">
        <v>273</v>
      </c>
      <c r="D69" s="29" t="s">
        <v>284</v>
      </c>
      <c r="E69" s="46" t="s">
        <v>247</v>
      </c>
      <c r="F69" s="29" t="s">
        <v>80</v>
      </c>
      <c r="G69" s="29" t="s">
        <v>81</v>
      </c>
      <c r="H69" s="25" t="s">
        <v>82</v>
      </c>
      <c r="I69" s="26" t="s">
        <v>38</v>
      </c>
      <c r="J69" s="29"/>
      <c r="K69" s="29"/>
      <c r="L69" s="29"/>
      <c r="M69" s="29" t="s">
        <v>285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customFormat="false" ht="45" hidden="false" customHeight="true" outlineLevel="0" collapsed="false">
      <c r="A70" s="43" t="s">
        <v>286</v>
      </c>
      <c r="B70" s="28" t="s">
        <v>204</v>
      </c>
      <c r="C70" s="29" t="s">
        <v>273</v>
      </c>
      <c r="D70" s="29" t="s">
        <v>287</v>
      </c>
      <c r="E70" s="46" t="s">
        <v>247</v>
      </c>
      <c r="F70" s="29" t="s">
        <v>80</v>
      </c>
      <c r="G70" s="29" t="s">
        <v>81</v>
      </c>
      <c r="H70" s="25" t="s">
        <v>89</v>
      </c>
      <c r="I70" s="26" t="s">
        <v>38</v>
      </c>
      <c r="J70" s="29"/>
      <c r="K70" s="29"/>
      <c r="L70" s="29"/>
      <c r="M70" s="29" t="s">
        <v>288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customFormat="false" ht="45" hidden="false" customHeight="true" outlineLevel="0" collapsed="false">
      <c r="A71" s="42" t="s">
        <v>289</v>
      </c>
      <c r="B71" s="22" t="s">
        <v>204</v>
      </c>
      <c r="C71" s="23" t="s">
        <v>206</v>
      </c>
      <c r="D71" s="23" t="s">
        <v>290</v>
      </c>
      <c r="E71" s="45" t="s">
        <v>247</v>
      </c>
      <c r="F71" s="23" t="s">
        <v>80</v>
      </c>
      <c r="G71" s="23" t="s">
        <v>81</v>
      </c>
      <c r="H71" s="25" t="s">
        <v>224</v>
      </c>
      <c r="I71" s="26" t="s">
        <v>38</v>
      </c>
      <c r="J71" s="23"/>
      <c r="K71" s="23"/>
      <c r="L71" s="23"/>
      <c r="M71" s="23" t="s">
        <v>291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customFormat="false" ht="45" hidden="false" customHeight="true" outlineLevel="0" collapsed="false">
      <c r="A72" s="43" t="s">
        <v>292</v>
      </c>
      <c r="B72" s="28" t="s">
        <v>204</v>
      </c>
      <c r="C72" s="29" t="s">
        <v>289</v>
      </c>
      <c r="D72" s="29" t="s">
        <v>293</v>
      </c>
      <c r="E72" s="46" t="s">
        <v>247</v>
      </c>
      <c r="F72" s="29" t="s">
        <v>80</v>
      </c>
      <c r="G72" s="29" t="s">
        <v>81</v>
      </c>
      <c r="H72" s="25" t="s">
        <v>82</v>
      </c>
      <c r="I72" s="26" t="s">
        <v>38</v>
      </c>
      <c r="J72" s="29"/>
      <c r="K72" s="29"/>
      <c r="L72" s="29"/>
      <c r="M72" s="29" t="s">
        <v>294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customFormat="false" ht="45" hidden="false" customHeight="true" outlineLevel="0" collapsed="false">
      <c r="A73" s="43" t="s">
        <v>295</v>
      </c>
      <c r="B73" s="28" t="s">
        <v>204</v>
      </c>
      <c r="C73" s="29" t="s">
        <v>289</v>
      </c>
      <c r="D73" s="29" t="s">
        <v>296</v>
      </c>
      <c r="E73" s="46" t="s">
        <v>247</v>
      </c>
      <c r="F73" s="29" t="s">
        <v>80</v>
      </c>
      <c r="G73" s="29" t="s">
        <v>81</v>
      </c>
      <c r="H73" s="25" t="s">
        <v>82</v>
      </c>
      <c r="I73" s="26" t="s">
        <v>38</v>
      </c>
      <c r="J73" s="29"/>
      <c r="K73" s="29"/>
      <c r="L73" s="29"/>
      <c r="M73" s="29" t="s">
        <v>297</v>
      </c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customFormat="false" ht="45" hidden="false" customHeight="true" outlineLevel="0" collapsed="false">
      <c r="A74" s="43" t="s">
        <v>298</v>
      </c>
      <c r="B74" s="28" t="s">
        <v>204</v>
      </c>
      <c r="C74" s="29" t="s">
        <v>289</v>
      </c>
      <c r="D74" s="29" t="s">
        <v>299</v>
      </c>
      <c r="E74" s="46" t="s">
        <v>247</v>
      </c>
      <c r="F74" s="29" t="s">
        <v>80</v>
      </c>
      <c r="G74" s="29" t="s">
        <v>81</v>
      </c>
      <c r="H74" s="25" t="s">
        <v>82</v>
      </c>
      <c r="I74" s="26" t="s">
        <v>38</v>
      </c>
      <c r="J74" s="29"/>
      <c r="K74" s="29"/>
      <c r="L74" s="29"/>
      <c r="M74" s="29" t="s">
        <v>300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customFormat="false" ht="45" hidden="false" customHeight="true" outlineLevel="0" collapsed="false">
      <c r="A75" s="43" t="s">
        <v>301</v>
      </c>
      <c r="B75" s="28" t="s">
        <v>204</v>
      </c>
      <c r="C75" s="29" t="s">
        <v>289</v>
      </c>
      <c r="D75" s="29" t="s">
        <v>302</v>
      </c>
      <c r="E75" s="46" t="s">
        <v>247</v>
      </c>
      <c r="F75" s="29" t="s">
        <v>80</v>
      </c>
      <c r="G75" s="29" t="s">
        <v>303</v>
      </c>
      <c r="H75" s="25" t="s">
        <v>82</v>
      </c>
      <c r="I75" s="26" t="s">
        <v>38</v>
      </c>
      <c r="J75" s="29"/>
      <c r="K75" s="29"/>
      <c r="L75" s="29"/>
      <c r="M75" s="29" t="s">
        <v>304</v>
      </c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customFormat="false" ht="45" hidden="false" customHeight="true" outlineLevel="0" collapsed="false">
      <c r="A76" s="43" t="s">
        <v>305</v>
      </c>
      <c r="B76" s="28" t="s">
        <v>204</v>
      </c>
      <c r="C76" s="29" t="s">
        <v>289</v>
      </c>
      <c r="D76" s="29" t="s">
        <v>306</v>
      </c>
      <c r="E76" s="46" t="s">
        <v>247</v>
      </c>
      <c r="F76" s="29" t="s">
        <v>80</v>
      </c>
      <c r="G76" s="29" t="s">
        <v>202</v>
      </c>
      <c r="H76" s="25" t="s">
        <v>82</v>
      </c>
      <c r="I76" s="26" t="s">
        <v>38</v>
      </c>
      <c r="J76" s="29"/>
      <c r="K76" s="29"/>
      <c r="L76" s="29"/>
      <c r="M76" s="29" t="s">
        <v>307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customFormat="false" ht="45" hidden="false" customHeight="true" outlineLevel="0" collapsed="false">
      <c r="A77" s="43" t="s">
        <v>308</v>
      </c>
      <c r="B77" s="28" t="s">
        <v>204</v>
      </c>
      <c r="C77" s="29" t="s">
        <v>289</v>
      </c>
      <c r="D77" s="29" t="s">
        <v>309</v>
      </c>
      <c r="E77" s="46" t="s">
        <v>247</v>
      </c>
      <c r="F77" s="29" t="s">
        <v>80</v>
      </c>
      <c r="G77" s="29" t="s">
        <v>310</v>
      </c>
      <c r="H77" s="25" t="s">
        <v>82</v>
      </c>
      <c r="I77" s="26" t="s">
        <v>38</v>
      </c>
      <c r="J77" s="29"/>
      <c r="K77" s="29"/>
      <c r="L77" s="29"/>
      <c r="M77" s="29" t="s">
        <v>311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customFormat="false" ht="45" hidden="false" customHeight="true" outlineLevel="0" collapsed="false">
      <c r="A78" s="43" t="s">
        <v>312</v>
      </c>
      <c r="B78" s="28" t="s">
        <v>204</v>
      </c>
      <c r="C78" s="29" t="s">
        <v>289</v>
      </c>
      <c r="D78" s="29" t="s">
        <v>313</v>
      </c>
      <c r="E78" s="46" t="s">
        <v>247</v>
      </c>
      <c r="F78" s="29" t="s">
        <v>80</v>
      </c>
      <c r="G78" s="29" t="s">
        <v>81</v>
      </c>
      <c r="H78" s="25" t="s">
        <v>82</v>
      </c>
      <c r="I78" s="26" t="s">
        <v>38</v>
      </c>
      <c r="J78" s="29"/>
      <c r="K78" s="29"/>
      <c r="L78" s="29"/>
      <c r="M78" s="29" t="s">
        <v>314</v>
      </c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customFormat="false" ht="45" hidden="false" customHeight="true" outlineLevel="0" collapsed="false">
      <c r="A79" s="43" t="s">
        <v>315</v>
      </c>
      <c r="B79" s="28" t="s">
        <v>204</v>
      </c>
      <c r="C79" s="29" t="s">
        <v>289</v>
      </c>
      <c r="D79" s="29" t="s">
        <v>316</v>
      </c>
      <c r="E79" s="46" t="s">
        <v>247</v>
      </c>
      <c r="F79" s="29" t="s">
        <v>80</v>
      </c>
      <c r="G79" s="29" t="s">
        <v>317</v>
      </c>
      <c r="H79" s="25" t="s">
        <v>89</v>
      </c>
      <c r="I79" s="26" t="s">
        <v>38</v>
      </c>
      <c r="J79" s="29"/>
      <c r="K79" s="29"/>
      <c r="L79" s="29"/>
      <c r="M79" s="29" t="s">
        <v>318</v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customFormat="false" ht="45" hidden="false" customHeight="true" outlineLevel="0" collapsed="false">
      <c r="A80" s="43" t="s">
        <v>319</v>
      </c>
      <c r="B80" s="28" t="s">
        <v>204</v>
      </c>
      <c r="C80" s="29" t="s">
        <v>289</v>
      </c>
      <c r="D80" s="29" t="s">
        <v>320</v>
      </c>
      <c r="E80" s="46" t="s">
        <v>247</v>
      </c>
      <c r="F80" s="29" t="s">
        <v>278</v>
      </c>
      <c r="G80" s="29" t="s">
        <v>81</v>
      </c>
      <c r="H80" s="25" t="s">
        <v>82</v>
      </c>
      <c r="I80" s="26" t="s">
        <v>38</v>
      </c>
      <c r="J80" s="29"/>
      <c r="K80" s="29"/>
      <c r="L80" s="29"/>
      <c r="M80" s="29" t="s">
        <v>321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customFormat="false" ht="18" hidden="false" customHeight="true" outlineLevel="0" collapsed="false">
      <c r="A81" s="48" t="s">
        <v>322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customFormat="false" ht="45" hidden="false" customHeight="true" outlineLevel="0" collapsed="false">
      <c r="A82" s="49" t="s">
        <v>323</v>
      </c>
      <c r="B82" s="31" t="s">
        <v>322</v>
      </c>
      <c r="C82" s="32" t="s">
        <v>324</v>
      </c>
      <c r="D82" s="32" t="s">
        <v>325</v>
      </c>
      <c r="E82" s="39" t="s">
        <v>79</v>
      </c>
      <c r="F82" s="32" t="s">
        <v>80</v>
      </c>
      <c r="G82" s="32" t="s">
        <v>81</v>
      </c>
      <c r="H82" s="25" t="s">
        <v>82</v>
      </c>
      <c r="I82" s="26" t="s">
        <v>38</v>
      </c>
      <c r="J82" s="32"/>
      <c r="K82" s="32"/>
      <c r="L82" s="32"/>
      <c r="M82" s="32" t="s">
        <v>326</v>
      </c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customFormat="false" ht="45" hidden="false" customHeight="true" outlineLevel="0" collapsed="false">
      <c r="A83" s="50" t="s">
        <v>327</v>
      </c>
      <c r="B83" s="28" t="s">
        <v>322</v>
      </c>
      <c r="C83" s="29" t="s">
        <v>323</v>
      </c>
      <c r="D83" s="29" t="s">
        <v>328</v>
      </c>
      <c r="E83" s="30" t="s">
        <v>79</v>
      </c>
      <c r="F83" s="29" t="s">
        <v>80</v>
      </c>
      <c r="G83" s="29" t="s">
        <v>81</v>
      </c>
      <c r="H83" s="25" t="s">
        <v>82</v>
      </c>
      <c r="I83" s="26" t="s">
        <v>38</v>
      </c>
      <c r="J83" s="29"/>
      <c r="K83" s="29"/>
      <c r="L83" s="29"/>
      <c r="M83" s="29" t="s">
        <v>329</v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customFormat="false" ht="45" hidden="false" customHeight="true" outlineLevel="0" collapsed="false">
      <c r="A84" s="50" t="s">
        <v>330</v>
      </c>
      <c r="B84" s="28" t="s">
        <v>322</v>
      </c>
      <c r="C84" s="29" t="s">
        <v>323</v>
      </c>
      <c r="D84" s="29" t="s">
        <v>331</v>
      </c>
      <c r="E84" s="30" t="s">
        <v>79</v>
      </c>
      <c r="F84" s="29" t="s">
        <v>80</v>
      </c>
      <c r="G84" s="29" t="s">
        <v>81</v>
      </c>
      <c r="H84" s="25" t="s">
        <v>89</v>
      </c>
      <c r="I84" s="26" t="s">
        <v>38</v>
      </c>
      <c r="J84" s="29"/>
      <c r="K84" s="29"/>
      <c r="L84" s="29"/>
      <c r="M84" s="29" t="s">
        <v>332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customFormat="false" ht="45" hidden="false" customHeight="true" outlineLevel="0" collapsed="false">
      <c r="A85" s="49" t="s">
        <v>333</v>
      </c>
      <c r="B85" s="22" t="s">
        <v>322</v>
      </c>
      <c r="C85" s="23" t="s">
        <v>324</v>
      </c>
      <c r="D85" s="23" t="s">
        <v>334</v>
      </c>
      <c r="E85" s="36" t="s">
        <v>93</v>
      </c>
      <c r="F85" s="23" t="s">
        <v>80</v>
      </c>
      <c r="G85" s="23" t="s">
        <v>81</v>
      </c>
      <c r="H85" s="25" t="s">
        <v>224</v>
      </c>
      <c r="I85" s="26" t="s">
        <v>38</v>
      </c>
      <c r="J85" s="23"/>
      <c r="K85" s="23"/>
      <c r="L85" s="23"/>
      <c r="M85" s="23" t="s">
        <v>335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customFormat="false" ht="45" hidden="false" customHeight="true" outlineLevel="0" collapsed="false">
      <c r="A86" s="50" t="s">
        <v>336</v>
      </c>
      <c r="B86" s="28" t="s">
        <v>322</v>
      </c>
      <c r="C86" s="29" t="s">
        <v>333</v>
      </c>
      <c r="D86" s="29" t="s">
        <v>337</v>
      </c>
      <c r="E86" s="34" t="s">
        <v>93</v>
      </c>
      <c r="F86" s="29" t="s">
        <v>80</v>
      </c>
      <c r="G86" s="29" t="s">
        <v>81</v>
      </c>
      <c r="H86" s="25" t="s">
        <v>224</v>
      </c>
      <c r="I86" s="26" t="s">
        <v>38</v>
      </c>
      <c r="J86" s="29"/>
      <c r="K86" s="29"/>
      <c r="L86" s="29"/>
      <c r="M86" s="29" t="s">
        <v>338</v>
      </c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customFormat="false" ht="45" hidden="false" customHeight="true" outlineLevel="0" collapsed="false">
      <c r="A87" s="50" t="s">
        <v>339</v>
      </c>
      <c r="B87" s="28" t="s">
        <v>322</v>
      </c>
      <c r="C87" s="29" t="s">
        <v>336</v>
      </c>
      <c r="D87" s="29" t="s">
        <v>340</v>
      </c>
      <c r="E87" s="34" t="s">
        <v>93</v>
      </c>
      <c r="F87" s="29" t="s">
        <v>80</v>
      </c>
      <c r="G87" s="29" t="s">
        <v>81</v>
      </c>
      <c r="H87" s="25" t="s">
        <v>82</v>
      </c>
      <c r="I87" s="26" t="s">
        <v>38</v>
      </c>
      <c r="J87" s="29"/>
      <c r="K87" s="29"/>
      <c r="L87" s="29"/>
      <c r="M87" s="29" t="s">
        <v>341</v>
      </c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customFormat="false" ht="45" hidden="false" customHeight="true" outlineLevel="0" collapsed="false">
      <c r="A88" s="50" t="s">
        <v>342</v>
      </c>
      <c r="B88" s="28" t="s">
        <v>322</v>
      </c>
      <c r="C88" s="29" t="s">
        <v>336</v>
      </c>
      <c r="D88" s="29" t="s">
        <v>343</v>
      </c>
      <c r="E88" s="34" t="s">
        <v>93</v>
      </c>
      <c r="F88" s="29" t="s">
        <v>80</v>
      </c>
      <c r="G88" s="29" t="s">
        <v>81</v>
      </c>
      <c r="H88" s="25" t="s">
        <v>82</v>
      </c>
      <c r="I88" s="26" t="s">
        <v>38</v>
      </c>
      <c r="J88" s="29"/>
      <c r="K88" s="29"/>
      <c r="L88" s="29"/>
      <c r="M88" s="29" t="s">
        <v>344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customFormat="false" ht="45" hidden="false" customHeight="true" outlineLevel="0" collapsed="false">
      <c r="A89" s="50" t="s">
        <v>345</v>
      </c>
      <c r="B89" s="28" t="s">
        <v>322</v>
      </c>
      <c r="C89" s="29" t="s">
        <v>333</v>
      </c>
      <c r="D89" s="29" t="s">
        <v>346</v>
      </c>
      <c r="E89" s="34" t="s">
        <v>93</v>
      </c>
      <c r="F89" s="29" t="s">
        <v>80</v>
      </c>
      <c r="G89" s="29" t="s">
        <v>81</v>
      </c>
      <c r="H89" s="25" t="s">
        <v>82</v>
      </c>
      <c r="I89" s="26" t="s">
        <v>38</v>
      </c>
      <c r="J89" s="29"/>
      <c r="K89" s="29"/>
      <c r="L89" s="29"/>
      <c r="M89" s="29" t="s">
        <v>347</v>
      </c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customFormat="false" ht="18" hidden="false" customHeight="true" outlineLevel="0" collapsed="false">
      <c r="A90" s="51" t="s">
        <v>348</v>
      </c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</row>
    <row r="91" customFormat="false" ht="45" hidden="false" customHeight="true" outlineLevel="0" collapsed="false">
      <c r="A91" s="52" t="s">
        <v>349</v>
      </c>
      <c r="B91" s="22" t="s">
        <v>348</v>
      </c>
      <c r="C91" s="23" t="s">
        <v>350</v>
      </c>
      <c r="D91" s="23" t="s">
        <v>351</v>
      </c>
      <c r="E91" s="24" t="s">
        <v>79</v>
      </c>
      <c r="F91" s="23" t="s">
        <v>80</v>
      </c>
      <c r="G91" s="23" t="s">
        <v>81</v>
      </c>
      <c r="H91" s="25" t="s">
        <v>82</v>
      </c>
      <c r="I91" s="26" t="s">
        <v>38</v>
      </c>
      <c r="J91" s="23"/>
      <c r="K91" s="23"/>
      <c r="L91" s="23"/>
      <c r="M91" s="23" t="s">
        <v>352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customFormat="false" ht="45" hidden="false" customHeight="true" outlineLevel="0" collapsed="false">
      <c r="A92" s="53" t="s">
        <v>353</v>
      </c>
      <c r="B92" s="28" t="s">
        <v>348</v>
      </c>
      <c r="C92" s="29" t="s">
        <v>349</v>
      </c>
      <c r="D92" s="29" t="s">
        <v>354</v>
      </c>
      <c r="E92" s="30" t="s">
        <v>79</v>
      </c>
      <c r="F92" s="29" t="s">
        <v>80</v>
      </c>
      <c r="G92" s="29" t="s">
        <v>81</v>
      </c>
      <c r="H92" s="25" t="s">
        <v>82</v>
      </c>
      <c r="I92" s="26" t="s">
        <v>38</v>
      </c>
      <c r="J92" s="29"/>
      <c r="K92" s="29"/>
      <c r="L92" s="29"/>
      <c r="M92" s="29" t="s">
        <v>355</v>
      </c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customFormat="false" ht="45" hidden="false" customHeight="true" outlineLevel="0" collapsed="false">
      <c r="A93" s="53" t="s">
        <v>356</v>
      </c>
      <c r="B93" s="28" t="s">
        <v>348</v>
      </c>
      <c r="C93" s="29" t="s">
        <v>349</v>
      </c>
      <c r="D93" s="29" t="s">
        <v>357</v>
      </c>
      <c r="E93" s="30" t="s">
        <v>79</v>
      </c>
      <c r="F93" s="29" t="s">
        <v>80</v>
      </c>
      <c r="G93" s="29" t="s">
        <v>81</v>
      </c>
      <c r="H93" s="25" t="s">
        <v>89</v>
      </c>
      <c r="I93" s="26" t="s">
        <v>38</v>
      </c>
      <c r="J93" s="29"/>
      <c r="K93" s="29"/>
      <c r="L93" s="29"/>
      <c r="M93" s="29" t="s">
        <v>358</v>
      </c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customFormat="false" ht="45" hidden="false" customHeight="true" outlineLevel="0" collapsed="false">
      <c r="A94" s="52" t="s">
        <v>359</v>
      </c>
      <c r="B94" s="31" t="s">
        <v>348</v>
      </c>
      <c r="C94" s="32" t="s">
        <v>350</v>
      </c>
      <c r="D94" s="32" t="s">
        <v>360</v>
      </c>
      <c r="E94" s="33" t="s">
        <v>93</v>
      </c>
      <c r="F94" s="32" t="s">
        <v>80</v>
      </c>
      <c r="G94" s="32" t="s">
        <v>81</v>
      </c>
      <c r="H94" s="25" t="s">
        <v>82</v>
      </c>
      <c r="I94" s="26" t="s">
        <v>38</v>
      </c>
      <c r="J94" s="32"/>
      <c r="K94" s="32"/>
      <c r="L94" s="32"/>
      <c r="M94" s="32" t="s">
        <v>361</v>
      </c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customFormat="false" ht="45" hidden="false" customHeight="true" outlineLevel="0" collapsed="false">
      <c r="A95" s="53" t="s">
        <v>362</v>
      </c>
      <c r="B95" s="28" t="s">
        <v>348</v>
      </c>
      <c r="C95" s="29" t="s">
        <v>359</v>
      </c>
      <c r="D95" s="29" t="s">
        <v>363</v>
      </c>
      <c r="E95" s="34" t="s">
        <v>93</v>
      </c>
      <c r="F95" s="29" t="s">
        <v>80</v>
      </c>
      <c r="G95" s="29" t="s">
        <v>81</v>
      </c>
      <c r="H95" s="25" t="s">
        <v>82</v>
      </c>
      <c r="I95" s="26" t="s">
        <v>38</v>
      </c>
      <c r="J95" s="29"/>
      <c r="K95" s="29"/>
      <c r="L95" s="29"/>
      <c r="M95" s="29" t="s">
        <v>364</v>
      </c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customFormat="false" ht="45" hidden="false" customHeight="true" outlineLevel="0" collapsed="false">
      <c r="A96" s="53" t="s">
        <v>365</v>
      </c>
      <c r="B96" s="28" t="s">
        <v>348</v>
      </c>
      <c r="C96" s="29" t="s">
        <v>359</v>
      </c>
      <c r="D96" s="29" t="s">
        <v>366</v>
      </c>
      <c r="E96" s="34" t="s">
        <v>93</v>
      </c>
      <c r="F96" s="29" t="s">
        <v>80</v>
      </c>
      <c r="G96" s="29" t="s">
        <v>81</v>
      </c>
      <c r="H96" s="25" t="s">
        <v>82</v>
      </c>
      <c r="I96" s="26" t="s">
        <v>38</v>
      </c>
      <c r="J96" s="29"/>
      <c r="K96" s="29"/>
      <c r="L96" s="29"/>
      <c r="M96" s="29" t="s">
        <v>367</v>
      </c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customFormat="false" ht="45" hidden="false" customHeight="true" outlineLevel="0" collapsed="false">
      <c r="A97" s="53" t="s">
        <v>368</v>
      </c>
      <c r="B97" s="28" t="s">
        <v>348</v>
      </c>
      <c r="C97" s="29" t="s">
        <v>359</v>
      </c>
      <c r="D97" s="29" t="s">
        <v>369</v>
      </c>
      <c r="E97" s="34" t="s">
        <v>93</v>
      </c>
      <c r="F97" s="29" t="s">
        <v>80</v>
      </c>
      <c r="G97" s="29" t="s">
        <v>370</v>
      </c>
      <c r="H97" s="25" t="s">
        <v>89</v>
      </c>
      <c r="I97" s="26" t="s">
        <v>38</v>
      </c>
      <c r="J97" s="29"/>
      <c r="K97" s="29"/>
      <c r="L97" s="29"/>
      <c r="M97" s="29" t="s">
        <v>371</v>
      </c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customFormat="false" ht="45" hidden="false" customHeight="true" outlineLevel="0" collapsed="false">
      <c r="A98" s="53" t="s">
        <v>372</v>
      </c>
      <c r="B98" s="28" t="s">
        <v>348</v>
      </c>
      <c r="C98" s="29" t="s">
        <v>368</v>
      </c>
      <c r="D98" s="29" t="s">
        <v>373</v>
      </c>
      <c r="E98" s="34" t="s">
        <v>93</v>
      </c>
      <c r="F98" s="29" t="s">
        <v>80</v>
      </c>
      <c r="G98" s="29" t="s">
        <v>374</v>
      </c>
      <c r="H98" s="25" t="s">
        <v>89</v>
      </c>
      <c r="I98" s="26" t="s">
        <v>38</v>
      </c>
      <c r="J98" s="29"/>
      <c r="K98" s="29"/>
      <c r="L98" s="29"/>
      <c r="M98" s="29" t="s">
        <v>375</v>
      </c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customFormat="false" ht="45" hidden="false" customHeight="true" outlineLevel="0" collapsed="false">
      <c r="A99" s="52" t="s">
        <v>376</v>
      </c>
      <c r="B99" s="22" t="s">
        <v>348</v>
      </c>
      <c r="C99" s="23" t="s">
        <v>350</v>
      </c>
      <c r="D99" s="23" t="s">
        <v>377</v>
      </c>
      <c r="E99" s="36" t="s">
        <v>93</v>
      </c>
      <c r="F99" s="23" t="s">
        <v>80</v>
      </c>
      <c r="G99" s="23" t="s">
        <v>81</v>
      </c>
      <c r="H99" s="25" t="s">
        <v>82</v>
      </c>
      <c r="I99" s="26" t="s">
        <v>38</v>
      </c>
      <c r="J99" s="23"/>
      <c r="K99" s="23"/>
      <c r="L99" s="23"/>
      <c r="M99" s="23" t="s">
        <v>378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customFormat="false" ht="45" hidden="false" customHeight="true" outlineLevel="0" collapsed="false">
      <c r="A100" s="53" t="s">
        <v>379</v>
      </c>
      <c r="B100" s="28" t="s">
        <v>348</v>
      </c>
      <c r="C100" s="29" t="s">
        <v>376</v>
      </c>
      <c r="D100" s="29" t="s">
        <v>380</v>
      </c>
      <c r="E100" s="34" t="s">
        <v>93</v>
      </c>
      <c r="F100" s="29" t="s">
        <v>80</v>
      </c>
      <c r="G100" s="29" t="s">
        <v>81</v>
      </c>
      <c r="H100" s="25" t="s">
        <v>82</v>
      </c>
      <c r="I100" s="26" t="s">
        <v>38</v>
      </c>
      <c r="J100" s="29"/>
      <c r="K100" s="29"/>
      <c r="L100" s="29"/>
      <c r="M100" s="29" t="s">
        <v>381</v>
      </c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customFormat="false" ht="45" hidden="false" customHeight="true" outlineLevel="0" collapsed="false">
      <c r="A101" s="53" t="s">
        <v>382</v>
      </c>
      <c r="B101" s="28" t="s">
        <v>348</v>
      </c>
      <c r="C101" s="29" t="s">
        <v>376</v>
      </c>
      <c r="D101" s="29" t="s">
        <v>383</v>
      </c>
      <c r="E101" s="34" t="s">
        <v>93</v>
      </c>
      <c r="F101" s="29" t="s">
        <v>80</v>
      </c>
      <c r="G101" s="29" t="s">
        <v>81</v>
      </c>
      <c r="H101" s="25" t="s">
        <v>82</v>
      </c>
      <c r="I101" s="26" t="s">
        <v>38</v>
      </c>
      <c r="J101" s="29"/>
      <c r="K101" s="29"/>
      <c r="L101" s="29"/>
      <c r="M101" s="29" t="s">
        <v>384</v>
      </c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customFormat="false" ht="45" hidden="false" customHeight="true" outlineLevel="0" collapsed="false">
      <c r="A102" s="53" t="s">
        <v>385</v>
      </c>
      <c r="B102" s="28" t="s">
        <v>348</v>
      </c>
      <c r="C102" s="29" t="s">
        <v>382</v>
      </c>
      <c r="D102" s="29" t="s">
        <v>386</v>
      </c>
      <c r="E102" s="34" t="s">
        <v>93</v>
      </c>
      <c r="F102" s="29" t="s">
        <v>80</v>
      </c>
      <c r="G102" s="29" t="s">
        <v>374</v>
      </c>
      <c r="H102" s="25" t="s">
        <v>89</v>
      </c>
      <c r="I102" s="26" t="s">
        <v>38</v>
      </c>
      <c r="J102" s="29"/>
      <c r="K102" s="29"/>
      <c r="L102" s="29"/>
      <c r="M102" s="29" t="s">
        <v>387</v>
      </c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customFormat="false" ht="45" hidden="false" customHeight="true" outlineLevel="0" collapsed="false">
      <c r="A103" s="53" t="s">
        <v>388</v>
      </c>
      <c r="B103" s="28" t="s">
        <v>348</v>
      </c>
      <c r="C103" s="29" t="s">
        <v>376</v>
      </c>
      <c r="D103" s="29" t="s">
        <v>389</v>
      </c>
      <c r="E103" s="34" t="s">
        <v>93</v>
      </c>
      <c r="F103" s="29" t="s">
        <v>80</v>
      </c>
      <c r="G103" s="29" t="s">
        <v>390</v>
      </c>
      <c r="H103" s="25" t="s">
        <v>82</v>
      </c>
      <c r="I103" s="26" t="s">
        <v>38</v>
      </c>
      <c r="J103" s="29"/>
      <c r="K103" s="29"/>
      <c r="L103" s="29"/>
      <c r="M103" s="29" t="s">
        <v>391</v>
      </c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customFormat="false" ht="45" hidden="false" customHeight="true" outlineLevel="0" collapsed="false">
      <c r="A104" s="53" t="s">
        <v>392</v>
      </c>
      <c r="B104" s="28" t="s">
        <v>348</v>
      </c>
      <c r="C104" s="29" t="s">
        <v>376</v>
      </c>
      <c r="D104" s="29" t="s">
        <v>393</v>
      </c>
      <c r="E104" s="34" t="s">
        <v>93</v>
      </c>
      <c r="F104" s="29" t="s">
        <v>80</v>
      </c>
      <c r="G104" s="29" t="s">
        <v>81</v>
      </c>
      <c r="H104" s="25" t="s">
        <v>89</v>
      </c>
      <c r="I104" s="26" t="s">
        <v>38</v>
      </c>
      <c r="J104" s="29"/>
      <c r="K104" s="29"/>
      <c r="L104" s="29"/>
      <c r="M104" s="29" t="s">
        <v>394</v>
      </c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customFormat="false" ht="45" hidden="false" customHeight="true" outlineLevel="0" collapsed="false">
      <c r="A105" s="53" t="s">
        <v>395</v>
      </c>
      <c r="B105" s="28" t="s">
        <v>348</v>
      </c>
      <c r="C105" s="29" t="s">
        <v>376</v>
      </c>
      <c r="D105" s="29" t="s">
        <v>396</v>
      </c>
      <c r="E105" s="34" t="s">
        <v>93</v>
      </c>
      <c r="F105" s="29" t="s">
        <v>80</v>
      </c>
      <c r="G105" s="29" t="s">
        <v>81</v>
      </c>
      <c r="H105" s="25" t="s">
        <v>82</v>
      </c>
      <c r="I105" s="26" t="s">
        <v>38</v>
      </c>
      <c r="J105" s="29"/>
      <c r="K105" s="29"/>
      <c r="L105" s="29"/>
      <c r="M105" s="29" t="s">
        <v>397</v>
      </c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customFormat="false" ht="45" hidden="false" customHeight="true" outlineLevel="0" collapsed="false">
      <c r="A106" s="52" t="s">
        <v>398</v>
      </c>
      <c r="B106" s="31" t="s">
        <v>348</v>
      </c>
      <c r="C106" s="32" t="s">
        <v>350</v>
      </c>
      <c r="D106" s="32" t="s">
        <v>399</v>
      </c>
      <c r="E106" s="33" t="s">
        <v>93</v>
      </c>
      <c r="F106" s="32" t="s">
        <v>80</v>
      </c>
      <c r="G106" s="32" t="s">
        <v>81</v>
      </c>
      <c r="H106" s="25" t="s">
        <v>82</v>
      </c>
      <c r="I106" s="26" t="s">
        <v>38</v>
      </c>
      <c r="J106" s="32"/>
      <c r="K106" s="32"/>
      <c r="L106" s="32"/>
      <c r="M106" s="32" t="s">
        <v>400</v>
      </c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customFormat="false" ht="45" hidden="false" customHeight="true" outlineLevel="0" collapsed="false">
      <c r="A107" s="53" t="s">
        <v>401</v>
      </c>
      <c r="B107" s="28" t="s">
        <v>348</v>
      </c>
      <c r="C107" s="29" t="s">
        <v>398</v>
      </c>
      <c r="D107" s="29" t="s">
        <v>402</v>
      </c>
      <c r="E107" s="34" t="s">
        <v>93</v>
      </c>
      <c r="F107" s="29" t="s">
        <v>80</v>
      </c>
      <c r="G107" s="29" t="s">
        <v>81</v>
      </c>
      <c r="H107" s="25" t="s">
        <v>82</v>
      </c>
      <c r="I107" s="26" t="s">
        <v>38</v>
      </c>
      <c r="J107" s="29"/>
      <c r="K107" s="29"/>
      <c r="L107" s="29"/>
      <c r="M107" s="29" t="s">
        <v>403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customFormat="false" ht="18" hidden="false" customHeight="true" outlineLevel="0" collapsed="false">
      <c r="A108" s="54" t="s">
        <v>404</v>
      </c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</row>
    <row r="109" customFormat="false" ht="45" hidden="false" customHeight="true" outlineLevel="0" collapsed="false">
      <c r="A109" s="55" t="s">
        <v>405</v>
      </c>
      <c r="B109" s="22" t="s">
        <v>404</v>
      </c>
      <c r="C109" s="23" t="s">
        <v>406</v>
      </c>
      <c r="D109" s="23" t="s">
        <v>407</v>
      </c>
      <c r="E109" s="24" t="s">
        <v>79</v>
      </c>
      <c r="F109" s="23" t="s">
        <v>80</v>
      </c>
      <c r="G109" s="23" t="s">
        <v>81</v>
      </c>
      <c r="H109" s="25" t="s">
        <v>82</v>
      </c>
      <c r="I109" s="26" t="s">
        <v>38</v>
      </c>
      <c r="J109" s="23"/>
      <c r="K109" s="23"/>
      <c r="L109" s="23"/>
      <c r="M109" s="23" t="s">
        <v>408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customFormat="false" ht="45" hidden="false" customHeight="true" outlineLevel="0" collapsed="false">
      <c r="A110" s="56" t="s">
        <v>409</v>
      </c>
      <c r="B110" s="28" t="s">
        <v>404</v>
      </c>
      <c r="C110" s="29" t="s">
        <v>405</v>
      </c>
      <c r="D110" s="29" t="s">
        <v>410</v>
      </c>
      <c r="E110" s="30" t="s">
        <v>79</v>
      </c>
      <c r="F110" s="29" t="s">
        <v>80</v>
      </c>
      <c r="G110" s="29" t="s">
        <v>81</v>
      </c>
      <c r="H110" s="25" t="s">
        <v>82</v>
      </c>
      <c r="I110" s="26" t="s">
        <v>38</v>
      </c>
      <c r="J110" s="29"/>
      <c r="K110" s="29"/>
      <c r="L110" s="29"/>
      <c r="M110" s="29" t="s">
        <v>411</v>
      </c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customFormat="false" ht="45" hidden="false" customHeight="true" outlineLevel="0" collapsed="false">
      <c r="A111" s="56" t="s">
        <v>412</v>
      </c>
      <c r="B111" s="28" t="s">
        <v>404</v>
      </c>
      <c r="C111" s="29" t="s">
        <v>405</v>
      </c>
      <c r="D111" s="29" t="s">
        <v>413</v>
      </c>
      <c r="E111" s="30" t="s">
        <v>79</v>
      </c>
      <c r="F111" s="29" t="s">
        <v>80</v>
      </c>
      <c r="G111" s="29" t="s">
        <v>81</v>
      </c>
      <c r="H111" s="25" t="s">
        <v>89</v>
      </c>
      <c r="I111" s="26" t="s">
        <v>38</v>
      </c>
      <c r="J111" s="29"/>
      <c r="K111" s="29"/>
      <c r="L111" s="29"/>
      <c r="M111" s="29" t="s">
        <v>414</v>
      </c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customFormat="false" ht="45" hidden="false" customHeight="true" outlineLevel="0" collapsed="false">
      <c r="A112" s="55" t="s">
        <v>415</v>
      </c>
      <c r="B112" s="31" t="s">
        <v>404</v>
      </c>
      <c r="C112" s="32" t="s">
        <v>406</v>
      </c>
      <c r="D112" s="32" t="s">
        <v>416</v>
      </c>
      <c r="E112" s="57" t="s">
        <v>417</v>
      </c>
      <c r="F112" s="32" t="s">
        <v>80</v>
      </c>
      <c r="G112" s="32" t="s">
        <v>81</v>
      </c>
      <c r="H112" s="25" t="s">
        <v>82</v>
      </c>
      <c r="I112" s="26" t="s">
        <v>38</v>
      </c>
      <c r="J112" s="32"/>
      <c r="K112" s="32"/>
      <c r="L112" s="32"/>
      <c r="M112" s="32" t="s">
        <v>418</v>
      </c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customFormat="false" ht="45" hidden="false" customHeight="true" outlineLevel="0" collapsed="false">
      <c r="A113" s="56" t="s">
        <v>419</v>
      </c>
      <c r="B113" s="28" t="s">
        <v>404</v>
      </c>
      <c r="C113" s="29" t="s">
        <v>415</v>
      </c>
      <c r="D113" s="29" t="s">
        <v>420</v>
      </c>
      <c r="E113" s="58" t="s">
        <v>417</v>
      </c>
      <c r="F113" s="29" t="s">
        <v>80</v>
      </c>
      <c r="G113" s="29" t="s">
        <v>81</v>
      </c>
      <c r="H113" s="25" t="s">
        <v>82</v>
      </c>
      <c r="I113" s="26" t="s">
        <v>38</v>
      </c>
      <c r="J113" s="29"/>
      <c r="K113" s="29"/>
      <c r="L113" s="29"/>
      <c r="M113" s="29" t="s">
        <v>421</v>
      </c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customFormat="false" ht="45" hidden="false" customHeight="true" outlineLevel="0" collapsed="false">
      <c r="A114" s="56" t="s">
        <v>422</v>
      </c>
      <c r="B114" s="28" t="s">
        <v>404</v>
      </c>
      <c r="C114" s="29" t="s">
        <v>415</v>
      </c>
      <c r="D114" s="29" t="s">
        <v>423</v>
      </c>
      <c r="E114" s="58" t="s">
        <v>417</v>
      </c>
      <c r="F114" s="29" t="s">
        <v>80</v>
      </c>
      <c r="G114" s="29" t="s">
        <v>424</v>
      </c>
      <c r="H114" s="25" t="s">
        <v>82</v>
      </c>
      <c r="I114" s="26" t="s">
        <v>38</v>
      </c>
      <c r="J114" s="29"/>
      <c r="K114" s="29"/>
      <c r="L114" s="29"/>
      <c r="M114" s="29" t="s">
        <v>425</v>
      </c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customFormat="false" ht="45" hidden="false" customHeight="true" outlineLevel="0" collapsed="false">
      <c r="A115" s="56" t="s">
        <v>426</v>
      </c>
      <c r="B115" s="28" t="s">
        <v>404</v>
      </c>
      <c r="C115" s="29" t="s">
        <v>415</v>
      </c>
      <c r="D115" s="29" t="s">
        <v>427</v>
      </c>
      <c r="E115" s="58" t="s">
        <v>417</v>
      </c>
      <c r="F115" s="29" t="s">
        <v>80</v>
      </c>
      <c r="G115" s="29" t="s">
        <v>428</v>
      </c>
      <c r="H115" s="25" t="s">
        <v>82</v>
      </c>
      <c r="I115" s="26" t="s">
        <v>38</v>
      </c>
      <c r="J115" s="29"/>
      <c r="K115" s="29"/>
      <c r="L115" s="29"/>
      <c r="M115" s="29" t="s">
        <v>429</v>
      </c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customFormat="false" ht="45" hidden="false" customHeight="true" outlineLevel="0" collapsed="false">
      <c r="A116" s="56" t="s">
        <v>430</v>
      </c>
      <c r="B116" s="28" t="s">
        <v>404</v>
      </c>
      <c r="C116" s="29" t="s">
        <v>426</v>
      </c>
      <c r="D116" s="29" t="s">
        <v>431</v>
      </c>
      <c r="E116" s="58" t="s">
        <v>417</v>
      </c>
      <c r="F116" s="29" t="s">
        <v>80</v>
      </c>
      <c r="G116" s="29" t="s">
        <v>428</v>
      </c>
      <c r="H116" s="25" t="s">
        <v>82</v>
      </c>
      <c r="I116" s="26" t="s">
        <v>38</v>
      </c>
      <c r="J116" s="29"/>
      <c r="K116" s="29"/>
      <c r="L116" s="29"/>
      <c r="M116" s="29" t="s">
        <v>432</v>
      </c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customFormat="false" ht="45" hidden="false" customHeight="true" outlineLevel="0" collapsed="false">
      <c r="A117" s="56" t="s">
        <v>433</v>
      </c>
      <c r="B117" s="28" t="s">
        <v>404</v>
      </c>
      <c r="C117" s="29" t="s">
        <v>415</v>
      </c>
      <c r="D117" s="29" t="s">
        <v>434</v>
      </c>
      <c r="E117" s="58" t="s">
        <v>417</v>
      </c>
      <c r="F117" s="29" t="s">
        <v>80</v>
      </c>
      <c r="G117" s="29" t="s">
        <v>81</v>
      </c>
      <c r="H117" s="25" t="s">
        <v>82</v>
      </c>
      <c r="I117" s="26" t="s">
        <v>38</v>
      </c>
      <c r="J117" s="29"/>
      <c r="K117" s="29"/>
      <c r="L117" s="29"/>
      <c r="M117" s="29" t="s">
        <v>435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customFormat="false" ht="45" hidden="false" customHeight="true" outlineLevel="0" collapsed="false">
      <c r="A118" s="55" t="s">
        <v>436</v>
      </c>
      <c r="B118" s="31" t="s">
        <v>404</v>
      </c>
      <c r="C118" s="32" t="s">
        <v>406</v>
      </c>
      <c r="D118" s="32" t="s">
        <v>437</v>
      </c>
      <c r="E118" s="33" t="s">
        <v>93</v>
      </c>
      <c r="F118" s="32" t="s">
        <v>80</v>
      </c>
      <c r="G118" s="32" t="s">
        <v>81</v>
      </c>
      <c r="H118" s="25" t="s">
        <v>82</v>
      </c>
      <c r="I118" s="26" t="s">
        <v>38</v>
      </c>
      <c r="J118" s="32"/>
      <c r="K118" s="32"/>
      <c r="L118" s="32"/>
      <c r="M118" s="32" t="s">
        <v>438</v>
      </c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 customFormat="false" ht="45" hidden="false" customHeight="true" outlineLevel="0" collapsed="false">
      <c r="A119" s="56" t="s">
        <v>439</v>
      </c>
      <c r="B119" s="28" t="s">
        <v>404</v>
      </c>
      <c r="C119" s="29" t="s">
        <v>436</v>
      </c>
      <c r="D119" s="29" t="s">
        <v>440</v>
      </c>
      <c r="E119" s="34" t="s">
        <v>93</v>
      </c>
      <c r="F119" s="29" t="s">
        <v>80</v>
      </c>
      <c r="G119" s="29" t="s">
        <v>81</v>
      </c>
      <c r="H119" s="25" t="s">
        <v>82</v>
      </c>
      <c r="I119" s="26" t="s">
        <v>38</v>
      </c>
      <c r="J119" s="29"/>
      <c r="K119" s="29"/>
      <c r="L119" s="29"/>
      <c r="M119" s="29" t="s">
        <v>441</v>
      </c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customFormat="false" ht="45" hidden="false" customHeight="true" outlineLevel="0" collapsed="false">
      <c r="A120" s="56" t="s">
        <v>442</v>
      </c>
      <c r="B120" s="28" t="s">
        <v>404</v>
      </c>
      <c r="C120" s="29" t="s">
        <v>436</v>
      </c>
      <c r="D120" s="29" t="s">
        <v>443</v>
      </c>
      <c r="E120" s="34" t="s">
        <v>93</v>
      </c>
      <c r="F120" s="29" t="s">
        <v>80</v>
      </c>
      <c r="G120" s="29" t="s">
        <v>81</v>
      </c>
      <c r="H120" s="25" t="s">
        <v>82</v>
      </c>
      <c r="I120" s="26" t="s">
        <v>38</v>
      </c>
      <c r="J120" s="29"/>
      <c r="K120" s="29"/>
      <c r="L120" s="29"/>
      <c r="M120" s="29" t="s">
        <v>444</v>
      </c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customFormat="false" ht="45" hidden="false" customHeight="true" outlineLevel="0" collapsed="false">
      <c r="A121" s="56" t="s">
        <v>445</v>
      </c>
      <c r="B121" s="28" t="s">
        <v>404</v>
      </c>
      <c r="C121" s="29" t="s">
        <v>436</v>
      </c>
      <c r="D121" s="29" t="s">
        <v>446</v>
      </c>
      <c r="E121" s="34" t="s">
        <v>93</v>
      </c>
      <c r="F121" s="29" t="s">
        <v>80</v>
      </c>
      <c r="G121" s="29" t="s">
        <v>447</v>
      </c>
      <c r="H121" s="25" t="s">
        <v>82</v>
      </c>
      <c r="I121" s="26" t="s">
        <v>38</v>
      </c>
      <c r="J121" s="29"/>
      <c r="K121" s="29"/>
      <c r="L121" s="29"/>
      <c r="M121" s="29" t="s">
        <v>448</v>
      </c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customFormat="false" ht="45" hidden="false" customHeight="true" outlineLevel="0" collapsed="false">
      <c r="A122" s="55" t="s">
        <v>449</v>
      </c>
      <c r="B122" s="31" t="s">
        <v>404</v>
      </c>
      <c r="C122" s="32" t="s">
        <v>406</v>
      </c>
      <c r="D122" s="32" t="s">
        <v>450</v>
      </c>
      <c r="E122" s="57" t="s">
        <v>417</v>
      </c>
      <c r="F122" s="32" t="s">
        <v>80</v>
      </c>
      <c r="G122" s="32" t="s">
        <v>81</v>
      </c>
      <c r="H122" s="25" t="s">
        <v>82</v>
      </c>
      <c r="I122" s="26" t="s">
        <v>38</v>
      </c>
      <c r="J122" s="32"/>
      <c r="K122" s="32"/>
      <c r="L122" s="32"/>
      <c r="M122" s="32" t="s">
        <v>451</v>
      </c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 customFormat="false" ht="45" hidden="false" customHeight="true" outlineLevel="0" collapsed="false">
      <c r="A123" s="56" t="s">
        <v>452</v>
      </c>
      <c r="B123" s="28" t="s">
        <v>404</v>
      </c>
      <c r="C123" s="29" t="s">
        <v>449</v>
      </c>
      <c r="D123" s="29" t="s">
        <v>453</v>
      </c>
      <c r="E123" s="58" t="s">
        <v>417</v>
      </c>
      <c r="F123" s="29" t="s">
        <v>80</v>
      </c>
      <c r="G123" s="29" t="s">
        <v>454</v>
      </c>
      <c r="H123" s="25" t="s">
        <v>82</v>
      </c>
      <c r="I123" s="26" t="s">
        <v>38</v>
      </c>
      <c r="J123" s="29"/>
      <c r="K123" s="29"/>
      <c r="L123" s="29"/>
      <c r="M123" s="29" t="s">
        <v>455</v>
      </c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customFormat="false" ht="45" hidden="false" customHeight="true" outlineLevel="0" collapsed="false">
      <c r="A124" s="56" t="s">
        <v>456</v>
      </c>
      <c r="B124" s="28" t="s">
        <v>404</v>
      </c>
      <c r="C124" s="29" t="s">
        <v>449</v>
      </c>
      <c r="D124" s="29" t="s">
        <v>457</v>
      </c>
      <c r="E124" s="58" t="s">
        <v>417</v>
      </c>
      <c r="F124" s="29" t="s">
        <v>80</v>
      </c>
      <c r="G124" s="29" t="s">
        <v>81</v>
      </c>
      <c r="H124" s="25" t="s">
        <v>82</v>
      </c>
      <c r="I124" s="26" t="s">
        <v>38</v>
      </c>
      <c r="J124" s="29"/>
      <c r="K124" s="29"/>
      <c r="L124" s="29"/>
      <c r="M124" s="29" t="s">
        <v>458</v>
      </c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customFormat="false" ht="45" hidden="false" customHeight="true" outlineLevel="0" collapsed="false">
      <c r="A125" s="56" t="s">
        <v>459</v>
      </c>
      <c r="B125" s="28" t="s">
        <v>404</v>
      </c>
      <c r="C125" s="29" t="s">
        <v>449</v>
      </c>
      <c r="D125" s="29" t="s">
        <v>460</v>
      </c>
      <c r="E125" s="58" t="s">
        <v>417</v>
      </c>
      <c r="F125" s="29" t="s">
        <v>80</v>
      </c>
      <c r="G125" s="29" t="s">
        <v>81</v>
      </c>
      <c r="H125" s="25" t="s">
        <v>82</v>
      </c>
      <c r="I125" s="26" t="s">
        <v>38</v>
      </c>
      <c r="J125" s="29"/>
      <c r="K125" s="29"/>
      <c r="L125" s="29"/>
      <c r="M125" s="29" t="s">
        <v>461</v>
      </c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customFormat="false" ht="45" hidden="false" customHeight="true" outlineLevel="0" collapsed="false">
      <c r="A126" s="55" t="s">
        <v>462</v>
      </c>
      <c r="B126" s="31" t="s">
        <v>404</v>
      </c>
      <c r="C126" s="32" t="s">
        <v>406</v>
      </c>
      <c r="D126" s="32" t="s">
        <v>463</v>
      </c>
      <c r="E126" s="39" t="s">
        <v>79</v>
      </c>
      <c r="F126" s="32" t="s">
        <v>80</v>
      </c>
      <c r="G126" s="32" t="s">
        <v>100</v>
      </c>
      <c r="H126" s="25" t="s">
        <v>82</v>
      </c>
      <c r="I126" s="26" t="s">
        <v>38</v>
      </c>
      <c r="J126" s="32"/>
      <c r="K126" s="32"/>
      <c r="L126" s="32"/>
      <c r="M126" s="32" t="s">
        <v>464</v>
      </c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 customFormat="false" ht="45" hidden="false" customHeight="true" outlineLevel="0" collapsed="false">
      <c r="A127" s="56" t="s">
        <v>465</v>
      </c>
      <c r="B127" s="28" t="s">
        <v>404</v>
      </c>
      <c r="C127" s="29" t="s">
        <v>462</v>
      </c>
      <c r="D127" s="29" t="s">
        <v>466</v>
      </c>
      <c r="E127" s="30" t="s">
        <v>79</v>
      </c>
      <c r="F127" s="29" t="s">
        <v>80</v>
      </c>
      <c r="G127" s="29" t="s">
        <v>100</v>
      </c>
      <c r="H127" s="25" t="s">
        <v>82</v>
      </c>
      <c r="I127" s="26" t="s">
        <v>38</v>
      </c>
      <c r="J127" s="29"/>
      <c r="K127" s="29"/>
      <c r="L127" s="29"/>
      <c r="M127" s="29" t="s">
        <v>467</v>
      </c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customFormat="false" ht="45" hidden="false" customHeight="true" outlineLevel="0" collapsed="false">
      <c r="A128" s="56" t="s">
        <v>468</v>
      </c>
      <c r="B128" s="28" t="s">
        <v>404</v>
      </c>
      <c r="C128" s="29" t="s">
        <v>462</v>
      </c>
      <c r="D128" s="29" t="s">
        <v>469</v>
      </c>
      <c r="E128" s="30" t="s">
        <v>79</v>
      </c>
      <c r="F128" s="29" t="s">
        <v>80</v>
      </c>
      <c r="G128" s="29" t="s">
        <v>470</v>
      </c>
      <c r="H128" s="25" t="s">
        <v>82</v>
      </c>
      <c r="I128" s="26" t="s">
        <v>38</v>
      </c>
      <c r="J128" s="29"/>
      <c r="K128" s="29"/>
      <c r="L128" s="29"/>
      <c r="M128" s="29" t="s">
        <v>471</v>
      </c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customFormat="false" ht="45" hidden="false" customHeight="true" outlineLevel="0" collapsed="false">
      <c r="A129" s="56" t="s">
        <v>472</v>
      </c>
      <c r="B129" s="28" t="s">
        <v>404</v>
      </c>
      <c r="C129" s="29" t="s">
        <v>462</v>
      </c>
      <c r="D129" s="29" t="s">
        <v>473</v>
      </c>
      <c r="E129" s="30" t="s">
        <v>79</v>
      </c>
      <c r="F129" s="29" t="s">
        <v>80</v>
      </c>
      <c r="G129" s="29" t="s">
        <v>81</v>
      </c>
      <c r="H129" s="25" t="s">
        <v>82</v>
      </c>
      <c r="I129" s="26" t="s">
        <v>38</v>
      </c>
      <c r="J129" s="29"/>
      <c r="K129" s="29"/>
      <c r="L129" s="29"/>
      <c r="M129" s="29" t="s">
        <v>474</v>
      </c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customFormat="false" ht="45" hidden="false" customHeight="true" outlineLevel="0" collapsed="false">
      <c r="A130" s="56" t="s">
        <v>475</v>
      </c>
      <c r="B130" s="28" t="s">
        <v>404</v>
      </c>
      <c r="C130" s="29" t="s">
        <v>462</v>
      </c>
      <c r="D130" s="29" t="s">
        <v>476</v>
      </c>
      <c r="E130" s="30" t="s">
        <v>79</v>
      </c>
      <c r="F130" s="29" t="s">
        <v>80</v>
      </c>
      <c r="G130" s="29" t="s">
        <v>81</v>
      </c>
      <c r="H130" s="25" t="s">
        <v>82</v>
      </c>
      <c r="I130" s="26" t="s">
        <v>38</v>
      </c>
      <c r="J130" s="29"/>
      <c r="K130" s="29"/>
      <c r="L130" s="29"/>
      <c r="M130" s="29" t="s">
        <v>477</v>
      </c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customFormat="false" ht="45" hidden="false" customHeight="true" outlineLevel="0" collapsed="false">
      <c r="A131" s="56" t="s">
        <v>478</v>
      </c>
      <c r="B131" s="28" t="s">
        <v>404</v>
      </c>
      <c r="C131" s="29" t="s">
        <v>462</v>
      </c>
      <c r="D131" s="29" t="s">
        <v>479</v>
      </c>
      <c r="E131" s="30" t="s">
        <v>79</v>
      </c>
      <c r="F131" s="29" t="s">
        <v>80</v>
      </c>
      <c r="G131" s="29" t="s">
        <v>81</v>
      </c>
      <c r="H131" s="25" t="s">
        <v>224</v>
      </c>
      <c r="I131" s="26" t="s">
        <v>38</v>
      </c>
      <c r="J131" s="29"/>
      <c r="K131" s="29"/>
      <c r="L131" s="29"/>
      <c r="M131" s="29" t="s">
        <v>480</v>
      </c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customFormat="false" ht="45" hidden="false" customHeight="true" outlineLevel="0" collapsed="false">
      <c r="A132" s="56" t="s">
        <v>481</v>
      </c>
      <c r="B132" s="28" t="s">
        <v>404</v>
      </c>
      <c r="C132" s="29" t="s">
        <v>462</v>
      </c>
      <c r="D132" s="29" t="s">
        <v>482</v>
      </c>
      <c r="E132" s="30" t="s">
        <v>79</v>
      </c>
      <c r="F132" s="29" t="s">
        <v>80</v>
      </c>
      <c r="G132" s="29" t="s">
        <v>177</v>
      </c>
      <c r="H132" s="25" t="s">
        <v>82</v>
      </c>
      <c r="I132" s="26" t="s">
        <v>38</v>
      </c>
      <c r="J132" s="29"/>
      <c r="K132" s="29"/>
      <c r="L132" s="29"/>
      <c r="M132" s="29" t="s">
        <v>483</v>
      </c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customFormat="false" ht="18" hidden="false" customHeight="true" outlineLevel="0" collapsed="false">
      <c r="A133" s="59" t="s">
        <v>484</v>
      </c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</row>
    <row r="134" customFormat="false" ht="45" hidden="false" customHeight="true" outlineLevel="0" collapsed="false">
      <c r="A134" s="60" t="s">
        <v>485</v>
      </c>
      <c r="B134" s="31" t="s">
        <v>484</v>
      </c>
      <c r="C134" s="32" t="s">
        <v>486</v>
      </c>
      <c r="D134" s="32" t="s">
        <v>487</v>
      </c>
      <c r="E134" s="39" t="s">
        <v>79</v>
      </c>
      <c r="F134" s="32" t="s">
        <v>80</v>
      </c>
      <c r="G134" s="32" t="s">
        <v>81</v>
      </c>
      <c r="H134" s="25" t="s">
        <v>82</v>
      </c>
      <c r="I134" s="26" t="s">
        <v>38</v>
      </c>
      <c r="J134" s="32"/>
      <c r="K134" s="32"/>
      <c r="L134" s="32"/>
      <c r="M134" s="32" t="s">
        <v>488</v>
      </c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 customFormat="false" ht="45" hidden="false" customHeight="true" outlineLevel="0" collapsed="false">
      <c r="A135" s="61" t="s">
        <v>489</v>
      </c>
      <c r="B135" s="28" t="s">
        <v>484</v>
      </c>
      <c r="C135" s="29" t="s">
        <v>485</v>
      </c>
      <c r="D135" s="29" t="s">
        <v>490</v>
      </c>
      <c r="E135" s="30" t="s">
        <v>79</v>
      </c>
      <c r="F135" s="29" t="s">
        <v>80</v>
      </c>
      <c r="G135" s="29" t="s">
        <v>81</v>
      </c>
      <c r="H135" s="25" t="s">
        <v>82</v>
      </c>
      <c r="I135" s="26" t="s">
        <v>38</v>
      </c>
      <c r="J135" s="29"/>
      <c r="K135" s="29"/>
      <c r="L135" s="29"/>
      <c r="M135" s="29" t="s">
        <v>491</v>
      </c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customFormat="false" ht="45" hidden="false" customHeight="true" outlineLevel="0" collapsed="false">
      <c r="A136" s="61" t="s">
        <v>492</v>
      </c>
      <c r="B136" s="28" t="s">
        <v>484</v>
      </c>
      <c r="C136" s="29" t="s">
        <v>485</v>
      </c>
      <c r="D136" s="29" t="s">
        <v>493</v>
      </c>
      <c r="E136" s="30" t="s">
        <v>79</v>
      </c>
      <c r="F136" s="29" t="s">
        <v>80</v>
      </c>
      <c r="G136" s="29" t="s">
        <v>81</v>
      </c>
      <c r="H136" s="25" t="s">
        <v>89</v>
      </c>
      <c r="I136" s="26" t="s">
        <v>38</v>
      </c>
      <c r="J136" s="29"/>
      <c r="K136" s="29"/>
      <c r="L136" s="29"/>
      <c r="M136" s="29" t="s">
        <v>494</v>
      </c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customFormat="false" ht="45" hidden="false" customHeight="true" outlineLevel="0" collapsed="false">
      <c r="A137" s="60" t="s">
        <v>495</v>
      </c>
      <c r="B137" s="22" t="s">
        <v>484</v>
      </c>
      <c r="C137" s="23" t="s">
        <v>486</v>
      </c>
      <c r="D137" s="23" t="s">
        <v>496</v>
      </c>
      <c r="E137" s="62" t="s">
        <v>497</v>
      </c>
      <c r="F137" s="23" t="s">
        <v>80</v>
      </c>
      <c r="G137" s="23" t="s">
        <v>81</v>
      </c>
      <c r="H137" s="25" t="s">
        <v>82</v>
      </c>
      <c r="I137" s="26" t="s">
        <v>38</v>
      </c>
      <c r="J137" s="23"/>
      <c r="K137" s="23"/>
      <c r="L137" s="23"/>
      <c r="M137" s="23" t="s">
        <v>498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customFormat="false" ht="45" hidden="false" customHeight="true" outlineLevel="0" collapsed="false">
      <c r="A138" s="61" t="s">
        <v>499</v>
      </c>
      <c r="B138" s="28" t="s">
        <v>484</v>
      </c>
      <c r="C138" s="29" t="s">
        <v>495</v>
      </c>
      <c r="D138" s="29" t="s">
        <v>500</v>
      </c>
      <c r="E138" s="63" t="s">
        <v>497</v>
      </c>
      <c r="F138" s="29" t="s">
        <v>80</v>
      </c>
      <c r="G138" s="29" t="s">
        <v>81</v>
      </c>
      <c r="H138" s="25" t="s">
        <v>82</v>
      </c>
      <c r="I138" s="26" t="s">
        <v>38</v>
      </c>
      <c r="J138" s="29"/>
      <c r="K138" s="29"/>
      <c r="L138" s="29"/>
      <c r="M138" s="29" t="s">
        <v>501</v>
      </c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customFormat="false" ht="45" hidden="false" customHeight="true" outlineLevel="0" collapsed="false">
      <c r="A139" s="61" t="s">
        <v>502</v>
      </c>
      <c r="B139" s="28" t="s">
        <v>484</v>
      </c>
      <c r="C139" s="29" t="s">
        <v>495</v>
      </c>
      <c r="D139" s="29" t="s">
        <v>503</v>
      </c>
      <c r="E139" s="63" t="s">
        <v>497</v>
      </c>
      <c r="F139" s="29" t="s">
        <v>80</v>
      </c>
      <c r="G139" s="29" t="s">
        <v>81</v>
      </c>
      <c r="H139" s="25" t="s">
        <v>82</v>
      </c>
      <c r="I139" s="26" t="s">
        <v>38</v>
      </c>
      <c r="J139" s="29"/>
      <c r="K139" s="29"/>
      <c r="L139" s="29"/>
      <c r="M139" s="29" t="s">
        <v>504</v>
      </c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customFormat="false" ht="45" hidden="false" customHeight="true" outlineLevel="0" collapsed="false">
      <c r="A140" s="61" t="s">
        <v>505</v>
      </c>
      <c r="B140" s="28" t="s">
        <v>484</v>
      </c>
      <c r="C140" s="29" t="s">
        <v>495</v>
      </c>
      <c r="D140" s="29" t="s">
        <v>506</v>
      </c>
      <c r="E140" s="63" t="s">
        <v>497</v>
      </c>
      <c r="F140" s="29" t="s">
        <v>80</v>
      </c>
      <c r="G140" s="29" t="s">
        <v>507</v>
      </c>
      <c r="H140" s="25" t="s">
        <v>82</v>
      </c>
      <c r="I140" s="26" t="s">
        <v>38</v>
      </c>
      <c r="J140" s="29"/>
      <c r="K140" s="29"/>
      <c r="L140" s="29"/>
      <c r="M140" s="29" t="s">
        <v>508</v>
      </c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customFormat="false" ht="45" hidden="false" customHeight="true" outlineLevel="0" collapsed="false">
      <c r="A141" s="61" t="s">
        <v>509</v>
      </c>
      <c r="B141" s="28" t="s">
        <v>484</v>
      </c>
      <c r="C141" s="29" t="s">
        <v>495</v>
      </c>
      <c r="D141" s="29" t="s">
        <v>510</v>
      </c>
      <c r="E141" s="63" t="s">
        <v>497</v>
      </c>
      <c r="F141" s="29" t="s">
        <v>80</v>
      </c>
      <c r="G141" s="29" t="s">
        <v>117</v>
      </c>
      <c r="H141" s="25" t="s">
        <v>82</v>
      </c>
      <c r="I141" s="26" t="s">
        <v>38</v>
      </c>
      <c r="J141" s="29"/>
      <c r="K141" s="29"/>
      <c r="L141" s="29"/>
      <c r="M141" s="29" t="s">
        <v>511</v>
      </c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customFormat="false" ht="45" hidden="false" customHeight="true" outlineLevel="0" collapsed="false">
      <c r="A142" s="61" t="s">
        <v>512</v>
      </c>
      <c r="B142" s="28" t="s">
        <v>484</v>
      </c>
      <c r="C142" s="29" t="s">
        <v>495</v>
      </c>
      <c r="D142" s="29" t="s">
        <v>513</v>
      </c>
      <c r="E142" s="63" t="s">
        <v>497</v>
      </c>
      <c r="F142" s="29" t="s">
        <v>80</v>
      </c>
      <c r="G142" s="29" t="s">
        <v>81</v>
      </c>
      <c r="H142" s="25" t="s">
        <v>82</v>
      </c>
      <c r="I142" s="26" t="s">
        <v>38</v>
      </c>
      <c r="J142" s="29"/>
      <c r="K142" s="29"/>
      <c r="L142" s="29"/>
      <c r="M142" s="29" t="s">
        <v>514</v>
      </c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customFormat="false" ht="45" hidden="false" customHeight="true" outlineLevel="0" collapsed="false">
      <c r="A143" s="61" t="s">
        <v>515</v>
      </c>
      <c r="B143" s="28" t="s">
        <v>484</v>
      </c>
      <c r="C143" s="29" t="s">
        <v>512</v>
      </c>
      <c r="D143" s="29" t="s">
        <v>516</v>
      </c>
      <c r="E143" s="63" t="s">
        <v>497</v>
      </c>
      <c r="F143" s="29" t="s">
        <v>80</v>
      </c>
      <c r="G143" s="29" t="s">
        <v>374</v>
      </c>
      <c r="H143" s="25" t="s">
        <v>82</v>
      </c>
      <c r="I143" s="26" t="s">
        <v>38</v>
      </c>
      <c r="J143" s="29"/>
      <c r="K143" s="29"/>
      <c r="L143" s="29"/>
      <c r="M143" s="29" t="s">
        <v>517</v>
      </c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customFormat="false" ht="45" hidden="false" customHeight="true" outlineLevel="0" collapsed="false">
      <c r="A144" s="61" t="s">
        <v>518</v>
      </c>
      <c r="B144" s="28" t="s">
        <v>484</v>
      </c>
      <c r="C144" s="29" t="s">
        <v>495</v>
      </c>
      <c r="D144" s="29" t="s">
        <v>519</v>
      </c>
      <c r="E144" s="63" t="s">
        <v>497</v>
      </c>
      <c r="F144" s="29" t="s">
        <v>80</v>
      </c>
      <c r="G144" s="29" t="s">
        <v>81</v>
      </c>
      <c r="H144" s="25" t="s">
        <v>82</v>
      </c>
      <c r="I144" s="26" t="s">
        <v>38</v>
      </c>
      <c r="J144" s="29"/>
      <c r="K144" s="29"/>
      <c r="L144" s="29"/>
      <c r="M144" s="29" t="s">
        <v>520</v>
      </c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customFormat="false" ht="45" hidden="false" customHeight="true" outlineLevel="0" collapsed="false">
      <c r="A145" s="60" t="s">
        <v>521</v>
      </c>
      <c r="B145" s="22" t="s">
        <v>484</v>
      </c>
      <c r="C145" s="23" t="s">
        <v>486</v>
      </c>
      <c r="D145" s="23" t="s">
        <v>522</v>
      </c>
      <c r="E145" s="62" t="s">
        <v>497</v>
      </c>
      <c r="F145" s="23" t="s">
        <v>80</v>
      </c>
      <c r="G145" s="23" t="s">
        <v>81</v>
      </c>
      <c r="H145" s="25" t="s">
        <v>82</v>
      </c>
      <c r="I145" s="26" t="s">
        <v>38</v>
      </c>
      <c r="J145" s="23"/>
      <c r="K145" s="23"/>
      <c r="L145" s="23"/>
      <c r="M145" s="23" t="s">
        <v>523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customFormat="false" ht="45" hidden="false" customHeight="true" outlineLevel="0" collapsed="false">
      <c r="A146" s="61" t="s">
        <v>524</v>
      </c>
      <c r="B146" s="28" t="s">
        <v>484</v>
      </c>
      <c r="C146" s="29" t="s">
        <v>521</v>
      </c>
      <c r="D146" s="29" t="s">
        <v>525</v>
      </c>
      <c r="E146" s="63" t="s">
        <v>497</v>
      </c>
      <c r="F146" s="29" t="s">
        <v>80</v>
      </c>
      <c r="G146" s="29" t="s">
        <v>81</v>
      </c>
      <c r="H146" s="25" t="s">
        <v>82</v>
      </c>
      <c r="I146" s="26" t="s">
        <v>38</v>
      </c>
      <c r="J146" s="29"/>
      <c r="K146" s="29"/>
      <c r="L146" s="29"/>
      <c r="M146" s="29" t="s">
        <v>526</v>
      </c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customFormat="false" ht="45" hidden="false" customHeight="true" outlineLevel="0" collapsed="false">
      <c r="A147" s="61" t="s">
        <v>527</v>
      </c>
      <c r="B147" s="28" t="s">
        <v>484</v>
      </c>
      <c r="C147" s="29" t="s">
        <v>521</v>
      </c>
      <c r="D147" s="29" t="s">
        <v>528</v>
      </c>
      <c r="E147" s="63" t="s">
        <v>497</v>
      </c>
      <c r="F147" s="29" t="s">
        <v>80</v>
      </c>
      <c r="G147" s="29" t="s">
        <v>81</v>
      </c>
      <c r="H147" s="25" t="s">
        <v>82</v>
      </c>
      <c r="I147" s="26" t="s">
        <v>38</v>
      </c>
      <c r="J147" s="29"/>
      <c r="K147" s="29"/>
      <c r="L147" s="29"/>
      <c r="M147" s="29" t="s">
        <v>529</v>
      </c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customFormat="false" ht="45" hidden="false" customHeight="true" outlineLevel="0" collapsed="false">
      <c r="A148" s="61" t="s">
        <v>530</v>
      </c>
      <c r="B148" s="28" t="s">
        <v>484</v>
      </c>
      <c r="C148" s="29" t="s">
        <v>521</v>
      </c>
      <c r="D148" s="29" t="s">
        <v>531</v>
      </c>
      <c r="E148" s="63" t="s">
        <v>497</v>
      </c>
      <c r="F148" s="29" t="s">
        <v>80</v>
      </c>
      <c r="G148" s="29" t="s">
        <v>81</v>
      </c>
      <c r="H148" s="25" t="s">
        <v>82</v>
      </c>
      <c r="I148" s="26" t="s">
        <v>38</v>
      </c>
      <c r="J148" s="29"/>
      <c r="K148" s="29"/>
      <c r="L148" s="29"/>
      <c r="M148" s="29" t="s">
        <v>532</v>
      </c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customFormat="false" ht="18" hidden="false" customHeight="true" outlineLevel="0" collapsed="false">
      <c r="A149" s="64" t="s">
        <v>533</v>
      </c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</row>
    <row r="150" customFormat="false" ht="45" hidden="false" customHeight="true" outlineLevel="0" collapsed="false">
      <c r="A150" s="65" t="s">
        <v>534</v>
      </c>
      <c r="B150" s="31" t="s">
        <v>533</v>
      </c>
      <c r="C150" s="32" t="s">
        <v>535</v>
      </c>
      <c r="D150" s="32" t="s">
        <v>536</v>
      </c>
      <c r="E150" s="39" t="s">
        <v>79</v>
      </c>
      <c r="F150" s="32" t="s">
        <v>80</v>
      </c>
      <c r="G150" s="32" t="s">
        <v>81</v>
      </c>
      <c r="H150" s="25" t="s">
        <v>82</v>
      </c>
      <c r="I150" s="26" t="s">
        <v>38</v>
      </c>
      <c r="J150" s="32"/>
      <c r="K150" s="32"/>
      <c r="L150" s="32"/>
      <c r="M150" s="32" t="s">
        <v>537</v>
      </c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 customFormat="false" ht="45" hidden="false" customHeight="true" outlineLevel="0" collapsed="false">
      <c r="A151" s="66" t="s">
        <v>538</v>
      </c>
      <c r="B151" s="28" t="s">
        <v>533</v>
      </c>
      <c r="C151" s="29" t="s">
        <v>534</v>
      </c>
      <c r="D151" s="29" t="s">
        <v>539</v>
      </c>
      <c r="E151" s="30" t="s">
        <v>79</v>
      </c>
      <c r="F151" s="29" t="s">
        <v>80</v>
      </c>
      <c r="G151" s="29" t="s">
        <v>81</v>
      </c>
      <c r="H151" s="25" t="s">
        <v>82</v>
      </c>
      <c r="I151" s="26" t="s">
        <v>38</v>
      </c>
      <c r="J151" s="29"/>
      <c r="K151" s="29"/>
      <c r="L151" s="29"/>
      <c r="M151" s="29" t="s">
        <v>540</v>
      </c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customFormat="false" ht="45" hidden="false" customHeight="true" outlineLevel="0" collapsed="false">
      <c r="A152" s="66" t="s">
        <v>541</v>
      </c>
      <c r="B152" s="28" t="s">
        <v>533</v>
      </c>
      <c r="C152" s="29" t="s">
        <v>534</v>
      </c>
      <c r="D152" s="29" t="s">
        <v>542</v>
      </c>
      <c r="E152" s="30" t="s">
        <v>79</v>
      </c>
      <c r="F152" s="29" t="s">
        <v>80</v>
      </c>
      <c r="G152" s="29" t="s">
        <v>81</v>
      </c>
      <c r="H152" s="25" t="s">
        <v>89</v>
      </c>
      <c r="I152" s="26" t="s">
        <v>38</v>
      </c>
      <c r="J152" s="29"/>
      <c r="K152" s="29"/>
      <c r="L152" s="29"/>
      <c r="M152" s="29" t="s">
        <v>543</v>
      </c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customFormat="false" ht="45" hidden="false" customHeight="true" outlineLevel="0" collapsed="false">
      <c r="A153" s="65" t="s">
        <v>544</v>
      </c>
      <c r="B153" s="22" t="s">
        <v>533</v>
      </c>
      <c r="C153" s="23" t="s">
        <v>535</v>
      </c>
      <c r="D153" s="23" t="s">
        <v>545</v>
      </c>
      <c r="E153" s="36" t="s">
        <v>93</v>
      </c>
      <c r="F153" s="23" t="s">
        <v>80</v>
      </c>
      <c r="G153" s="23" t="s">
        <v>81</v>
      </c>
      <c r="H153" s="25" t="s">
        <v>82</v>
      </c>
      <c r="I153" s="26" t="s">
        <v>38</v>
      </c>
      <c r="J153" s="23"/>
      <c r="K153" s="23"/>
      <c r="L153" s="23"/>
      <c r="M153" s="23" t="s">
        <v>546</v>
      </c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customFormat="false" ht="45" hidden="false" customHeight="true" outlineLevel="0" collapsed="false">
      <c r="A154" s="66" t="s">
        <v>547</v>
      </c>
      <c r="B154" s="28" t="s">
        <v>533</v>
      </c>
      <c r="C154" s="29" t="s">
        <v>544</v>
      </c>
      <c r="D154" s="29" t="s">
        <v>548</v>
      </c>
      <c r="E154" s="34" t="s">
        <v>93</v>
      </c>
      <c r="F154" s="29" t="s">
        <v>80</v>
      </c>
      <c r="G154" s="29" t="s">
        <v>81</v>
      </c>
      <c r="H154" s="25" t="s">
        <v>82</v>
      </c>
      <c r="I154" s="26" t="s">
        <v>38</v>
      </c>
      <c r="J154" s="29"/>
      <c r="K154" s="29"/>
      <c r="L154" s="29"/>
      <c r="M154" s="29" t="s">
        <v>549</v>
      </c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customFormat="false" ht="45" hidden="false" customHeight="true" outlineLevel="0" collapsed="false">
      <c r="A155" s="66" t="s">
        <v>550</v>
      </c>
      <c r="B155" s="28" t="s">
        <v>533</v>
      </c>
      <c r="C155" s="29" t="s">
        <v>544</v>
      </c>
      <c r="D155" s="29" t="s">
        <v>551</v>
      </c>
      <c r="E155" s="34" t="s">
        <v>93</v>
      </c>
      <c r="F155" s="29" t="s">
        <v>80</v>
      </c>
      <c r="G155" s="29" t="s">
        <v>552</v>
      </c>
      <c r="H155" s="25" t="s">
        <v>82</v>
      </c>
      <c r="I155" s="26" t="s">
        <v>38</v>
      </c>
      <c r="J155" s="29"/>
      <c r="K155" s="29"/>
      <c r="L155" s="29"/>
      <c r="M155" s="29" t="s">
        <v>553</v>
      </c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customFormat="false" ht="45" hidden="false" customHeight="true" outlineLevel="0" collapsed="false">
      <c r="A156" s="66" t="s">
        <v>554</v>
      </c>
      <c r="B156" s="28" t="s">
        <v>533</v>
      </c>
      <c r="C156" s="29" t="s">
        <v>544</v>
      </c>
      <c r="D156" s="29" t="s">
        <v>555</v>
      </c>
      <c r="E156" s="34" t="s">
        <v>93</v>
      </c>
      <c r="F156" s="29" t="s">
        <v>278</v>
      </c>
      <c r="G156" s="29" t="s">
        <v>81</v>
      </c>
      <c r="H156" s="25" t="s">
        <v>82</v>
      </c>
      <c r="I156" s="26" t="s">
        <v>38</v>
      </c>
      <c r="J156" s="29"/>
      <c r="K156" s="29"/>
      <c r="L156" s="29"/>
      <c r="M156" s="29" t="s">
        <v>556</v>
      </c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customFormat="false" ht="45" hidden="false" customHeight="true" outlineLevel="0" collapsed="false">
      <c r="A157" s="66" t="s">
        <v>557</v>
      </c>
      <c r="B157" s="28" t="s">
        <v>533</v>
      </c>
      <c r="C157" s="29" t="s">
        <v>544</v>
      </c>
      <c r="D157" s="29" t="s">
        <v>558</v>
      </c>
      <c r="E157" s="34" t="s">
        <v>93</v>
      </c>
      <c r="F157" s="29" t="s">
        <v>80</v>
      </c>
      <c r="G157" s="29" t="s">
        <v>100</v>
      </c>
      <c r="H157" s="25" t="s">
        <v>82</v>
      </c>
      <c r="I157" s="26" t="s">
        <v>38</v>
      </c>
      <c r="J157" s="29"/>
      <c r="K157" s="29"/>
      <c r="L157" s="29"/>
      <c r="M157" s="29" t="s">
        <v>559</v>
      </c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customFormat="false" ht="45" hidden="false" customHeight="true" outlineLevel="0" collapsed="false">
      <c r="A158" s="66" t="s">
        <v>560</v>
      </c>
      <c r="B158" s="28" t="s">
        <v>533</v>
      </c>
      <c r="C158" s="29" t="s">
        <v>544</v>
      </c>
      <c r="D158" s="29" t="s">
        <v>561</v>
      </c>
      <c r="E158" s="34" t="s">
        <v>93</v>
      </c>
      <c r="F158" s="29" t="s">
        <v>80</v>
      </c>
      <c r="G158" s="29" t="s">
        <v>562</v>
      </c>
      <c r="H158" s="25" t="s">
        <v>82</v>
      </c>
      <c r="I158" s="26" t="s">
        <v>38</v>
      </c>
      <c r="J158" s="29"/>
      <c r="K158" s="29"/>
      <c r="L158" s="29"/>
      <c r="M158" s="29" t="s">
        <v>563</v>
      </c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customFormat="false" ht="45" hidden="false" customHeight="true" outlineLevel="0" collapsed="false">
      <c r="A159" s="66" t="s">
        <v>564</v>
      </c>
      <c r="B159" s="28" t="s">
        <v>533</v>
      </c>
      <c r="C159" s="29" t="s">
        <v>544</v>
      </c>
      <c r="D159" s="29" t="s">
        <v>565</v>
      </c>
      <c r="E159" s="34" t="s">
        <v>93</v>
      </c>
      <c r="F159" s="29" t="s">
        <v>80</v>
      </c>
      <c r="G159" s="29" t="s">
        <v>220</v>
      </c>
      <c r="H159" s="25" t="s">
        <v>82</v>
      </c>
      <c r="I159" s="26" t="s">
        <v>38</v>
      </c>
      <c r="J159" s="29"/>
      <c r="K159" s="29"/>
      <c r="L159" s="29"/>
      <c r="M159" s="29" t="s">
        <v>566</v>
      </c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customFormat="false" ht="45" hidden="false" customHeight="true" outlineLevel="0" collapsed="false">
      <c r="A160" s="66" t="s">
        <v>567</v>
      </c>
      <c r="B160" s="28" t="s">
        <v>533</v>
      </c>
      <c r="C160" s="29" t="s">
        <v>544</v>
      </c>
      <c r="D160" s="29" t="s">
        <v>568</v>
      </c>
      <c r="E160" s="34" t="s">
        <v>93</v>
      </c>
      <c r="F160" s="29" t="s">
        <v>80</v>
      </c>
      <c r="G160" s="29" t="s">
        <v>81</v>
      </c>
      <c r="H160" s="25" t="s">
        <v>82</v>
      </c>
      <c r="I160" s="26" t="s">
        <v>38</v>
      </c>
      <c r="J160" s="29"/>
      <c r="K160" s="29"/>
      <c r="L160" s="29"/>
      <c r="M160" s="29" t="s">
        <v>569</v>
      </c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customFormat="false" ht="45" hidden="false" customHeight="true" outlineLevel="0" collapsed="false">
      <c r="A161" s="66" t="s">
        <v>570</v>
      </c>
      <c r="B161" s="28" t="s">
        <v>533</v>
      </c>
      <c r="C161" s="29" t="s">
        <v>544</v>
      </c>
      <c r="D161" s="29" t="s">
        <v>571</v>
      </c>
      <c r="E161" s="34" t="s">
        <v>93</v>
      </c>
      <c r="F161" s="29" t="s">
        <v>80</v>
      </c>
      <c r="G161" s="29" t="s">
        <v>81</v>
      </c>
      <c r="H161" s="25" t="s">
        <v>89</v>
      </c>
      <c r="I161" s="26" t="s">
        <v>38</v>
      </c>
      <c r="J161" s="29"/>
      <c r="K161" s="29"/>
      <c r="L161" s="29"/>
      <c r="M161" s="29" t="s">
        <v>572</v>
      </c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customFormat="false" ht="45" hidden="false" customHeight="true" outlineLevel="0" collapsed="false">
      <c r="A162" s="65" t="s">
        <v>573</v>
      </c>
      <c r="B162" s="31" t="s">
        <v>533</v>
      </c>
      <c r="C162" s="32" t="s">
        <v>535</v>
      </c>
      <c r="D162" s="32" t="s">
        <v>574</v>
      </c>
      <c r="E162" s="33" t="s">
        <v>93</v>
      </c>
      <c r="F162" s="32" t="s">
        <v>80</v>
      </c>
      <c r="G162" s="32" t="s">
        <v>81</v>
      </c>
      <c r="H162" s="25" t="s">
        <v>82</v>
      </c>
      <c r="I162" s="26" t="s">
        <v>38</v>
      </c>
      <c r="J162" s="32"/>
      <c r="K162" s="32"/>
      <c r="L162" s="32"/>
      <c r="M162" s="32" t="s">
        <v>575</v>
      </c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customFormat="false" ht="45" hidden="false" customHeight="true" outlineLevel="0" collapsed="false">
      <c r="A163" s="66" t="s">
        <v>576</v>
      </c>
      <c r="B163" s="28" t="s">
        <v>533</v>
      </c>
      <c r="C163" s="29" t="s">
        <v>573</v>
      </c>
      <c r="D163" s="29" t="s">
        <v>577</v>
      </c>
      <c r="E163" s="34" t="s">
        <v>93</v>
      </c>
      <c r="F163" s="29" t="s">
        <v>80</v>
      </c>
      <c r="G163" s="29" t="s">
        <v>81</v>
      </c>
      <c r="H163" s="25" t="s">
        <v>82</v>
      </c>
      <c r="I163" s="26" t="s">
        <v>38</v>
      </c>
      <c r="J163" s="29"/>
      <c r="K163" s="29"/>
      <c r="L163" s="29"/>
      <c r="M163" s="29" t="s">
        <v>578</v>
      </c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customFormat="false" ht="45" hidden="false" customHeight="true" outlineLevel="0" collapsed="false">
      <c r="A164" s="66" t="s">
        <v>579</v>
      </c>
      <c r="B164" s="28" t="s">
        <v>533</v>
      </c>
      <c r="C164" s="29" t="s">
        <v>573</v>
      </c>
      <c r="D164" s="29" t="s">
        <v>580</v>
      </c>
      <c r="E164" s="34" t="s">
        <v>93</v>
      </c>
      <c r="F164" s="29" t="s">
        <v>80</v>
      </c>
      <c r="G164" s="29" t="s">
        <v>81</v>
      </c>
      <c r="H164" s="25" t="s">
        <v>82</v>
      </c>
      <c r="I164" s="26" t="s">
        <v>38</v>
      </c>
      <c r="J164" s="29"/>
      <c r="K164" s="29"/>
      <c r="L164" s="29"/>
      <c r="M164" s="29" t="s">
        <v>581</v>
      </c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customFormat="false" ht="45" hidden="false" customHeight="true" outlineLevel="0" collapsed="false">
      <c r="A165" s="66" t="s">
        <v>582</v>
      </c>
      <c r="B165" s="28" t="s">
        <v>533</v>
      </c>
      <c r="C165" s="29" t="s">
        <v>573</v>
      </c>
      <c r="D165" s="29" t="s">
        <v>583</v>
      </c>
      <c r="E165" s="34" t="s">
        <v>93</v>
      </c>
      <c r="F165" s="29" t="s">
        <v>80</v>
      </c>
      <c r="G165" s="29" t="s">
        <v>100</v>
      </c>
      <c r="H165" s="25" t="s">
        <v>82</v>
      </c>
      <c r="I165" s="26" t="s">
        <v>38</v>
      </c>
      <c r="J165" s="29"/>
      <c r="K165" s="29"/>
      <c r="L165" s="29"/>
      <c r="M165" s="29" t="s">
        <v>584</v>
      </c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customFormat="false" ht="45" hidden="false" customHeight="true" outlineLevel="0" collapsed="false">
      <c r="A166" s="66" t="s">
        <v>585</v>
      </c>
      <c r="B166" s="28" t="s">
        <v>533</v>
      </c>
      <c r="C166" s="29" t="s">
        <v>573</v>
      </c>
      <c r="D166" s="29" t="s">
        <v>586</v>
      </c>
      <c r="E166" s="34" t="s">
        <v>93</v>
      </c>
      <c r="F166" s="29" t="s">
        <v>80</v>
      </c>
      <c r="G166" s="29" t="s">
        <v>81</v>
      </c>
      <c r="H166" s="25" t="s">
        <v>82</v>
      </c>
      <c r="I166" s="26" t="s">
        <v>38</v>
      </c>
      <c r="J166" s="29"/>
      <c r="K166" s="29"/>
      <c r="L166" s="29"/>
      <c r="M166" s="29" t="s">
        <v>587</v>
      </c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customFormat="false" ht="45" hidden="false" customHeight="true" outlineLevel="0" collapsed="false">
      <c r="A167" s="66" t="s">
        <v>588</v>
      </c>
      <c r="B167" s="28" t="s">
        <v>533</v>
      </c>
      <c r="C167" s="29" t="s">
        <v>573</v>
      </c>
      <c r="D167" s="29" t="s">
        <v>589</v>
      </c>
      <c r="E167" s="34" t="s">
        <v>93</v>
      </c>
      <c r="F167" s="29" t="s">
        <v>80</v>
      </c>
      <c r="G167" s="29" t="s">
        <v>590</v>
      </c>
      <c r="H167" s="25" t="s">
        <v>82</v>
      </c>
      <c r="I167" s="26" t="s">
        <v>38</v>
      </c>
      <c r="J167" s="29"/>
      <c r="K167" s="29"/>
      <c r="L167" s="29"/>
      <c r="M167" s="29" t="s">
        <v>591</v>
      </c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customFormat="false" ht="45" hidden="false" customHeight="true" outlineLevel="0" collapsed="false">
      <c r="A168" s="66" t="s">
        <v>592</v>
      </c>
      <c r="B168" s="28" t="s">
        <v>533</v>
      </c>
      <c r="C168" s="29" t="s">
        <v>573</v>
      </c>
      <c r="D168" s="29" t="s">
        <v>593</v>
      </c>
      <c r="E168" s="34" t="s">
        <v>93</v>
      </c>
      <c r="F168" s="29" t="s">
        <v>80</v>
      </c>
      <c r="G168" s="29" t="s">
        <v>81</v>
      </c>
      <c r="H168" s="25" t="s">
        <v>82</v>
      </c>
      <c r="I168" s="26" t="s">
        <v>38</v>
      </c>
      <c r="J168" s="29"/>
      <c r="K168" s="29"/>
      <c r="L168" s="29"/>
      <c r="M168" s="29" t="s">
        <v>594</v>
      </c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customFormat="false" ht="45" hidden="false" customHeight="true" outlineLevel="0" collapsed="false">
      <c r="A169" s="66" t="s">
        <v>595</v>
      </c>
      <c r="B169" s="28" t="s">
        <v>533</v>
      </c>
      <c r="C169" s="29" t="s">
        <v>573</v>
      </c>
      <c r="D169" s="29" t="s">
        <v>596</v>
      </c>
      <c r="E169" s="34" t="s">
        <v>93</v>
      </c>
      <c r="F169" s="29" t="s">
        <v>80</v>
      </c>
      <c r="G169" s="29" t="s">
        <v>81</v>
      </c>
      <c r="H169" s="25" t="s">
        <v>89</v>
      </c>
      <c r="I169" s="26" t="s">
        <v>38</v>
      </c>
      <c r="J169" s="29"/>
      <c r="K169" s="29"/>
      <c r="L169" s="29"/>
      <c r="M169" s="29" t="s">
        <v>597</v>
      </c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customFormat="false" ht="45" hidden="false" customHeight="true" outlineLevel="0" collapsed="false">
      <c r="A170" s="66" t="s">
        <v>598</v>
      </c>
      <c r="B170" s="28" t="s">
        <v>533</v>
      </c>
      <c r="C170" s="29" t="s">
        <v>573</v>
      </c>
      <c r="D170" s="29" t="s">
        <v>599</v>
      </c>
      <c r="E170" s="34" t="s">
        <v>93</v>
      </c>
      <c r="F170" s="29" t="s">
        <v>80</v>
      </c>
      <c r="G170" s="29" t="s">
        <v>81</v>
      </c>
      <c r="H170" s="25" t="s">
        <v>89</v>
      </c>
      <c r="I170" s="26" t="s">
        <v>38</v>
      </c>
      <c r="J170" s="29"/>
      <c r="K170" s="29"/>
      <c r="L170" s="29"/>
      <c r="M170" s="29" t="s">
        <v>600</v>
      </c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customFormat="false" ht="45" hidden="false" customHeight="true" outlineLevel="0" collapsed="false">
      <c r="A171" s="66" t="s">
        <v>601</v>
      </c>
      <c r="B171" s="28" t="s">
        <v>533</v>
      </c>
      <c r="C171" s="29" t="s">
        <v>573</v>
      </c>
      <c r="D171" s="29" t="s">
        <v>602</v>
      </c>
      <c r="E171" s="34" t="s">
        <v>93</v>
      </c>
      <c r="F171" s="29" t="s">
        <v>80</v>
      </c>
      <c r="G171" s="29" t="s">
        <v>603</v>
      </c>
      <c r="H171" s="25" t="s">
        <v>82</v>
      </c>
      <c r="I171" s="26" t="s">
        <v>38</v>
      </c>
      <c r="J171" s="29"/>
      <c r="K171" s="29"/>
      <c r="L171" s="29"/>
      <c r="M171" s="29" t="s">
        <v>604</v>
      </c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customFormat="false" ht="45" hidden="false" customHeight="true" outlineLevel="0" collapsed="false">
      <c r="A172" s="66" t="s">
        <v>605</v>
      </c>
      <c r="B172" s="28" t="s">
        <v>533</v>
      </c>
      <c r="C172" s="29" t="s">
        <v>573</v>
      </c>
      <c r="D172" s="29" t="s">
        <v>606</v>
      </c>
      <c r="E172" s="34" t="s">
        <v>93</v>
      </c>
      <c r="F172" s="29" t="s">
        <v>278</v>
      </c>
      <c r="G172" s="29" t="s">
        <v>81</v>
      </c>
      <c r="H172" s="25" t="s">
        <v>89</v>
      </c>
      <c r="I172" s="26" t="s">
        <v>38</v>
      </c>
      <c r="J172" s="29"/>
      <c r="K172" s="29"/>
      <c r="L172" s="29"/>
      <c r="M172" s="29" t="s">
        <v>607</v>
      </c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customFormat="false" ht="45" hidden="false" customHeight="true" outlineLevel="0" collapsed="false">
      <c r="A173" s="66" t="s">
        <v>608</v>
      </c>
      <c r="B173" s="28" t="s">
        <v>533</v>
      </c>
      <c r="C173" s="29" t="s">
        <v>605</v>
      </c>
      <c r="D173" s="29" t="s">
        <v>609</v>
      </c>
      <c r="E173" s="34" t="s">
        <v>93</v>
      </c>
      <c r="F173" s="29" t="s">
        <v>278</v>
      </c>
      <c r="G173" s="29" t="s">
        <v>603</v>
      </c>
      <c r="H173" s="25" t="s">
        <v>89</v>
      </c>
      <c r="I173" s="26" t="s">
        <v>38</v>
      </c>
      <c r="J173" s="29"/>
      <c r="K173" s="29"/>
      <c r="L173" s="29"/>
      <c r="M173" s="29" t="s">
        <v>610</v>
      </c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customFormat="false" ht="45" hidden="false" customHeight="true" outlineLevel="0" collapsed="false">
      <c r="A174" s="66" t="s">
        <v>611</v>
      </c>
      <c r="B174" s="28" t="s">
        <v>533</v>
      </c>
      <c r="C174" s="29" t="s">
        <v>573</v>
      </c>
      <c r="D174" s="29" t="s">
        <v>612</v>
      </c>
      <c r="E174" s="63" t="s">
        <v>497</v>
      </c>
      <c r="F174" s="29" t="s">
        <v>80</v>
      </c>
      <c r="G174" s="29" t="s">
        <v>81</v>
      </c>
      <c r="H174" s="25" t="s">
        <v>82</v>
      </c>
      <c r="I174" s="26" t="s">
        <v>38</v>
      </c>
      <c r="J174" s="29"/>
      <c r="K174" s="29"/>
      <c r="L174" s="29"/>
      <c r="M174" s="29" t="s">
        <v>613</v>
      </c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customFormat="false" ht="45" hidden="false" customHeight="true" outlineLevel="0" collapsed="false">
      <c r="A175" s="65" t="s">
        <v>614</v>
      </c>
      <c r="B175" s="22" t="s">
        <v>533</v>
      </c>
      <c r="C175" s="23" t="s">
        <v>535</v>
      </c>
      <c r="D175" s="23" t="s">
        <v>615</v>
      </c>
      <c r="E175" s="36" t="s">
        <v>93</v>
      </c>
      <c r="F175" s="23" t="s">
        <v>80</v>
      </c>
      <c r="G175" s="23" t="s">
        <v>81</v>
      </c>
      <c r="H175" s="25" t="s">
        <v>82</v>
      </c>
      <c r="I175" s="26" t="s">
        <v>38</v>
      </c>
      <c r="J175" s="23"/>
      <c r="K175" s="23"/>
      <c r="L175" s="23"/>
      <c r="M175" s="23" t="s">
        <v>616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customFormat="false" ht="45" hidden="false" customHeight="true" outlineLevel="0" collapsed="false">
      <c r="A176" s="66" t="s">
        <v>617</v>
      </c>
      <c r="B176" s="28" t="s">
        <v>533</v>
      </c>
      <c r="C176" s="29" t="s">
        <v>614</v>
      </c>
      <c r="D176" s="29" t="s">
        <v>618</v>
      </c>
      <c r="E176" s="34" t="s">
        <v>93</v>
      </c>
      <c r="F176" s="29" t="s">
        <v>80</v>
      </c>
      <c r="G176" s="29" t="s">
        <v>81</v>
      </c>
      <c r="H176" s="25" t="s">
        <v>82</v>
      </c>
      <c r="I176" s="26" t="s">
        <v>38</v>
      </c>
      <c r="J176" s="29"/>
      <c r="K176" s="29"/>
      <c r="L176" s="29"/>
      <c r="M176" s="29" t="s">
        <v>619</v>
      </c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customFormat="false" ht="45" hidden="false" customHeight="true" outlineLevel="0" collapsed="false">
      <c r="A177" s="66" t="s">
        <v>620</v>
      </c>
      <c r="B177" s="28" t="s">
        <v>533</v>
      </c>
      <c r="C177" s="29" t="s">
        <v>614</v>
      </c>
      <c r="D177" s="29" t="s">
        <v>621</v>
      </c>
      <c r="E177" s="34" t="s">
        <v>93</v>
      </c>
      <c r="F177" s="29" t="s">
        <v>80</v>
      </c>
      <c r="G177" s="29" t="s">
        <v>81</v>
      </c>
      <c r="H177" s="25" t="s">
        <v>82</v>
      </c>
      <c r="I177" s="26" t="s">
        <v>38</v>
      </c>
      <c r="J177" s="29"/>
      <c r="K177" s="29"/>
      <c r="L177" s="29"/>
      <c r="M177" s="29" t="s">
        <v>622</v>
      </c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customFormat="false" ht="45" hidden="false" customHeight="true" outlineLevel="0" collapsed="false">
      <c r="A178" s="66" t="s">
        <v>623</v>
      </c>
      <c r="B178" s="28" t="s">
        <v>533</v>
      </c>
      <c r="C178" s="29" t="s">
        <v>614</v>
      </c>
      <c r="D178" s="29" t="s">
        <v>624</v>
      </c>
      <c r="E178" s="34" t="s">
        <v>93</v>
      </c>
      <c r="F178" s="29" t="s">
        <v>80</v>
      </c>
      <c r="G178" s="29" t="s">
        <v>81</v>
      </c>
      <c r="H178" s="25" t="s">
        <v>82</v>
      </c>
      <c r="I178" s="26" t="s">
        <v>38</v>
      </c>
      <c r="J178" s="29"/>
      <c r="K178" s="29"/>
      <c r="L178" s="29"/>
      <c r="M178" s="29" t="s">
        <v>625</v>
      </c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customFormat="false" ht="45" hidden="false" customHeight="true" outlineLevel="0" collapsed="false">
      <c r="A179" s="65" t="s">
        <v>626</v>
      </c>
      <c r="B179" s="22" t="s">
        <v>533</v>
      </c>
      <c r="C179" s="23" t="s">
        <v>535</v>
      </c>
      <c r="D179" s="23" t="s">
        <v>627</v>
      </c>
      <c r="E179" s="36" t="s">
        <v>93</v>
      </c>
      <c r="F179" s="23" t="s">
        <v>80</v>
      </c>
      <c r="G179" s="23" t="s">
        <v>81</v>
      </c>
      <c r="H179" s="25" t="s">
        <v>82</v>
      </c>
      <c r="I179" s="26" t="s">
        <v>38</v>
      </c>
      <c r="J179" s="23"/>
      <c r="K179" s="23"/>
      <c r="L179" s="23"/>
      <c r="M179" s="23" t="s">
        <v>628</v>
      </c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customFormat="false" ht="45" hidden="false" customHeight="true" outlineLevel="0" collapsed="false">
      <c r="A180" s="66" t="s">
        <v>629</v>
      </c>
      <c r="B180" s="28" t="s">
        <v>533</v>
      </c>
      <c r="C180" s="29" t="s">
        <v>626</v>
      </c>
      <c r="D180" s="29" t="s">
        <v>630</v>
      </c>
      <c r="E180" s="34" t="s">
        <v>93</v>
      </c>
      <c r="F180" s="29" t="s">
        <v>80</v>
      </c>
      <c r="G180" s="29" t="s">
        <v>81</v>
      </c>
      <c r="H180" s="25" t="s">
        <v>82</v>
      </c>
      <c r="I180" s="26" t="s">
        <v>38</v>
      </c>
      <c r="J180" s="29"/>
      <c r="K180" s="29"/>
      <c r="L180" s="29"/>
      <c r="M180" s="29" t="s">
        <v>631</v>
      </c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customFormat="false" ht="45" hidden="false" customHeight="true" outlineLevel="0" collapsed="false">
      <c r="A181" s="65" t="s">
        <v>632</v>
      </c>
      <c r="B181" s="22" t="s">
        <v>533</v>
      </c>
      <c r="C181" s="23" t="s">
        <v>535</v>
      </c>
      <c r="D181" s="23" t="s">
        <v>633</v>
      </c>
      <c r="E181" s="62" t="s">
        <v>497</v>
      </c>
      <c r="F181" s="23" t="s">
        <v>80</v>
      </c>
      <c r="G181" s="23" t="s">
        <v>81</v>
      </c>
      <c r="H181" s="25" t="s">
        <v>82</v>
      </c>
      <c r="I181" s="26" t="s">
        <v>38</v>
      </c>
      <c r="J181" s="23"/>
      <c r="K181" s="23"/>
      <c r="L181" s="23"/>
      <c r="M181" s="23" t="s">
        <v>634</v>
      </c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customFormat="false" ht="45" hidden="false" customHeight="true" outlineLevel="0" collapsed="false">
      <c r="A182" s="66" t="s">
        <v>635</v>
      </c>
      <c r="B182" s="28" t="s">
        <v>533</v>
      </c>
      <c r="C182" s="29" t="s">
        <v>632</v>
      </c>
      <c r="D182" s="29" t="s">
        <v>636</v>
      </c>
      <c r="E182" s="63" t="s">
        <v>497</v>
      </c>
      <c r="F182" s="29" t="s">
        <v>80</v>
      </c>
      <c r="G182" s="29" t="s">
        <v>552</v>
      </c>
      <c r="H182" s="25" t="s">
        <v>82</v>
      </c>
      <c r="I182" s="26" t="s">
        <v>38</v>
      </c>
      <c r="J182" s="29"/>
      <c r="K182" s="29"/>
      <c r="L182" s="29"/>
      <c r="M182" s="29" t="s">
        <v>637</v>
      </c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customFormat="false" ht="45" hidden="false" customHeight="true" outlineLevel="0" collapsed="false">
      <c r="A183" s="66" t="s">
        <v>638</v>
      </c>
      <c r="B183" s="28" t="s">
        <v>533</v>
      </c>
      <c r="C183" s="29" t="s">
        <v>632</v>
      </c>
      <c r="D183" s="29" t="s">
        <v>639</v>
      </c>
      <c r="E183" s="63" t="s">
        <v>497</v>
      </c>
      <c r="F183" s="29" t="s">
        <v>80</v>
      </c>
      <c r="G183" s="29" t="s">
        <v>81</v>
      </c>
      <c r="H183" s="25" t="s">
        <v>82</v>
      </c>
      <c r="I183" s="26" t="s">
        <v>38</v>
      </c>
      <c r="J183" s="29"/>
      <c r="K183" s="29"/>
      <c r="L183" s="29"/>
      <c r="M183" s="29" t="s">
        <v>640</v>
      </c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customFormat="false" ht="45" hidden="false" customHeight="true" outlineLevel="0" collapsed="false">
      <c r="A184" s="66" t="s">
        <v>641</v>
      </c>
      <c r="B184" s="28" t="s">
        <v>533</v>
      </c>
      <c r="C184" s="29" t="s">
        <v>632</v>
      </c>
      <c r="D184" s="29" t="s">
        <v>642</v>
      </c>
      <c r="E184" s="63" t="s">
        <v>497</v>
      </c>
      <c r="F184" s="29" t="s">
        <v>80</v>
      </c>
      <c r="G184" s="29" t="s">
        <v>374</v>
      </c>
      <c r="H184" s="25" t="s">
        <v>82</v>
      </c>
      <c r="I184" s="26" t="s">
        <v>38</v>
      </c>
      <c r="J184" s="29"/>
      <c r="K184" s="29"/>
      <c r="L184" s="29"/>
      <c r="M184" s="29" t="s">
        <v>643</v>
      </c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customFormat="false" ht="18" hidden="false" customHeight="true" outlineLevel="0" collapsed="false">
      <c r="A185" s="67" t="s">
        <v>644</v>
      </c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</row>
    <row r="186" customFormat="false" ht="45" hidden="false" customHeight="true" outlineLevel="0" collapsed="false">
      <c r="A186" s="68" t="s">
        <v>645</v>
      </c>
      <c r="B186" s="31" t="s">
        <v>644</v>
      </c>
      <c r="C186" s="32" t="s">
        <v>646</v>
      </c>
      <c r="D186" s="32" t="s">
        <v>647</v>
      </c>
      <c r="E186" s="39" t="s">
        <v>79</v>
      </c>
      <c r="F186" s="32" t="s">
        <v>80</v>
      </c>
      <c r="G186" s="32" t="s">
        <v>81</v>
      </c>
      <c r="H186" s="25" t="s">
        <v>82</v>
      </c>
      <c r="I186" s="26" t="s">
        <v>38</v>
      </c>
      <c r="J186" s="32"/>
      <c r="K186" s="32"/>
      <c r="L186" s="32"/>
      <c r="M186" s="32" t="s">
        <v>648</v>
      </c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customFormat="false" ht="45" hidden="false" customHeight="true" outlineLevel="0" collapsed="false">
      <c r="A187" s="69" t="s">
        <v>649</v>
      </c>
      <c r="B187" s="28" t="s">
        <v>644</v>
      </c>
      <c r="C187" s="29" t="s">
        <v>645</v>
      </c>
      <c r="D187" s="29" t="s">
        <v>650</v>
      </c>
      <c r="E187" s="30" t="s">
        <v>79</v>
      </c>
      <c r="F187" s="29" t="s">
        <v>80</v>
      </c>
      <c r="G187" s="29" t="s">
        <v>81</v>
      </c>
      <c r="H187" s="25" t="s">
        <v>82</v>
      </c>
      <c r="I187" s="26" t="s">
        <v>38</v>
      </c>
      <c r="J187" s="29"/>
      <c r="K187" s="29"/>
      <c r="L187" s="29"/>
      <c r="M187" s="29" t="s">
        <v>651</v>
      </c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customFormat="false" ht="45" hidden="false" customHeight="true" outlineLevel="0" collapsed="false">
      <c r="A188" s="69" t="s">
        <v>652</v>
      </c>
      <c r="B188" s="28" t="s">
        <v>644</v>
      </c>
      <c r="C188" s="29" t="s">
        <v>645</v>
      </c>
      <c r="D188" s="29" t="s">
        <v>653</v>
      </c>
      <c r="E188" s="30" t="s">
        <v>79</v>
      </c>
      <c r="F188" s="29" t="s">
        <v>80</v>
      </c>
      <c r="G188" s="29" t="s">
        <v>81</v>
      </c>
      <c r="H188" s="25" t="s">
        <v>89</v>
      </c>
      <c r="I188" s="26" t="s">
        <v>38</v>
      </c>
      <c r="J188" s="29"/>
      <c r="K188" s="29"/>
      <c r="L188" s="29"/>
      <c r="M188" s="29" t="s">
        <v>654</v>
      </c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customFormat="false" ht="45" hidden="false" customHeight="true" outlineLevel="0" collapsed="false">
      <c r="A189" s="68" t="s">
        <v>655</v>
      </c>
      <c r="B189" s="22" t="s">
        <v>644</v>
      </c>
      <c r="C189" s="23" t="s">
        <v>646</v>
      </c>
      <c r="D189" s="23" t="s">
        <v>656</v>
      </c>
      <c r="E189" s="36" t="s">
        <v>93</v>
      </c>
      <c r="F189" s="23" t="s">
        <v>80</v>
      </c>
      <c r="G189" s="23" t="s">
        <v>81</v>
      </c>
      <c r="H189" s="25" t="s">
        <v>82</v>
      </c>
      <c r="I189" s="26" t="s">
        <v>38</v>
      </c>
      <c r="J189" s="23"/>
      <c r="K189" s="23"/>
      <c r="L189" s="23"/>
      <c r="M189" s="23" t="s">
        <v>657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customFormat="false" ht="45" hidden="false" customHeight="true" outlineLevel="0" collapsed="false">
      <c r="A190" s="69" t="s">
        <v>658</v>
      </c>
      <c r="B190" s="28" t="s">
        <v>644</v>
      </c>
      <c r="C190" s="29" t="s">
        <v>655</v>
      </c>
      <c r="D190" s="29" t="s">
        <v>659</v>
      </c>
      <c r="E190" s="34" t="s">
        <v>93</v>
      </c>
      <c r="F190" s="29" t="s">
        <v>80</v>
      </c>
      <c r="G190" s="29" t="s">
        <v>81</v>
      </c>
      <c r="H190" s="25" t="s">
        <v>82</v>
      </c>
      <c r="I190" s="26" t="s">
        <v>38</v>
      </c>
      <c r="J190" s="29"/>
      <c r="K190" s="29"/>
      <c r="L190" s="29"/>
      <c r="M190" s="29" t="s">
        <v>660</v>
      </c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customFormat="false" ht="45" hidden="false" customHeight="true" outlineLevel="0" collapsed="false">
      <c r="A191" s="69" t="s">
        <v>661</v>
      </c>
      <c r="B191" s="28" t="s">
        <v>644</v>
      </c>
      <c r="C191" s="29" t="s">
        <v>658</v>
      </c>
      <c r="D191" s="29" t="s">
        <v>662</v>
      </c>
      <c r="E191" s="34" t="s">
        <v>93</v>
      </c>
      <c r="F191" s="29" t="s">
        <v>80</v>
      </c>
      <c r="G191" s="29" t="s">
        <v>81</v>
      </c>
      <c r="H191" s="25" t="s">
        <v>82</v>
      </c>
      <c r="I191" s="26" t="s">
        <v>38</v>
      </c>
      <c r="J191" s="29"/>
      <c r="K191" s="29"/>
      <c r="L191" s="29"/>
      <c r="M191" s="29" t="s">
        <v>663</v>
      </c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customFormat="false" ht="45" hidden="false" customHeight="true" outlineLevel="0" collapsed="false">
      <c r="A192" s="69" t="s">
        <v>664</v>
      </c>
      <c r="B192" s="28" t="s">
        <v>644</v>
      </c>
      <c r="C192" s="29" t="s">
        <v>655</v>
      </c>
      <c r="D192" s="29" t="s">
        <v>665</v>
      </c>
      <c r="E192" s="34" t="s">
        <v>93</v>
      </c>
      <c r="F192" s="29" t="s">
        <v>80</v>
      </c>
      <c r="G192" s="29" t="s">
        <v>81</v>
      </c>
      <c r="H192" s="25" t="s">
        <v>82</v>
      </c>
      <c r="I192" s="26" t="s">
        <v>38</v>
      </c>
      <c r="J192" s="29"/>
      <c r="K192" s="29"/>
      <c r="L192" s="29"/>
      <c r="M192" s="29" t="s">
        <v>666</v>
      </c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customFormat="false" ht="45" hidden="false" customHeight="true" outlineLevel="0" collapsed="false">
      <c r="A193" s="69" t="s">
        <v>667</v>
      </c>
      <c r="B193" s="28" t="s">
        <v>644</v>
      </c>
      <c r="C193" s="29" t="s">
        <v>655</v>
      </c>
      <c r="D193" s="29" t="s">
        <v>668</v>
      </c>
      <c r="E193" s="34" t="s">
        <v>93</v>
      </c>
      <c r="F193" s="29" t="s">
        <v>80</v>
      </c>
      <c r="G193" s="29" t="s">
        <v>81</v>
      </c>
      <c r="H193" s="25" t="s">
        <v>82</v>
      </c>
      <c r="I193" s="26" t="s">
        <v>38</v>
      </c>
      <c r="J193" s="29"/>
      <c r="K193" s="29"/>
      <c r="L193" s="29"/>
      <c r="M193" s="29" t="s">
        <v>669</v>
      </c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customFormat="false" ht="45" hidden="false" customHeight="true" outlineLevel="0" collapsed="false">
      <c r="A194" s="69" t="s">
        <v>670</v>
      </c>
      <c r="B194" s="28" t="s">
        <v>644</v>
      </c>
      <c r="C194" s="29" t="s">
        <v>655</v>
      </c>
      <c r="D194" s="29" t="s">
        <v>671</v>
      </c>
      <c r="E194" s="34" t="s">
        <v>93</v>
      </c>
      <c r="F194" s="29" t="s">
        <v>80</v>
      </c>
      <c r="G194" s="29" t="s">
        <v>81</v>
      </c>
      <c r="H194" s="25" t="s">
        <v>89</v>
      </c>
      <c r="I194" s="26" t="s">
        <v>38</v>
      </c>
      <c r="J194" s="29"/>
      <c r="K194" s="29"/>
      <c r="L194" s="29"/>
      <c r="M194" s="29" t="s">
        <v>672</v>
      </c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customFormat="false" ht="45" hidden="false" customHeight="true" outlineLevel="0" collapsed="false">
      <c r="A195" s="68" t="s">
        <v>673</v>
      </c>
      <c r="B195" s="22" t="s">
        <v>644</v>
      </c>
      <c r="C195" s="23" t="s">
        <v>646</v>
      </c>
      <c r="D195" s="23" t="s">
        <v>674</v>
      </c>
      <c r="E195" s="45" t="s">
        <v>247</v>
      </c>
      <c r="F195" s="23" t="s">
        <v>80</v>
      </c>
      <c r="G195" s="23" t="s">
        <v>81</v>
      </c>
      <c r="H195" s="25" t="s">
        <v>82</v>
      </c>
      <c r="I195" s="26" t="s">
        <v>38</v>
      </c>
      <c r="J195" s="23"/>
      <c r="K195" s="23"/>
      <c r="L195" s="23"/>
      <c r="M195" s="23" t="s">
        <v>675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customFormat="false" ht="45" hidden="false" customHeight="true" outlineLevel="0" collapsed="false">
      <c r="A196" s="69" t="s">
        <v>676</v>
      </c>
      <c r="B196" s="28" t="s">
        <v>644</v>
      </c>
      <c r="C196" s="29" t="s">
        <v>673</v>
      </c>
      <c r="D196" s="29" t="s">
        <v>677</v>
      </c>
      <c r="E196" s="46" t="s">
        <v>247</v>
      </c>
      <c r="F196" s="29" t="s">
        <v>80</v>
      </c>
      <c r="G196" s="29" t="s">
        <v>81</v>
      </c>
      <c r="H196" s="25" t="s">
        <v>82</v>
      </c>
      <c r="I196" s="26" t="s">
        <v>38</v>
      </c>
      <c r="J196" s="29"/>
      <c r="K196" s="29"/>
      <c r="L196" s="29"/>
      <c r="M196" s="29" t="s">
        <v>678</v>
      </c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customFormat="false" ht="45" hidden="false" customHeight="true" outlineLevel="0" collapsed="false">
      <c r="A197" s="69" t="s">
        <v>679</v>
      </c>
      <c r="B197" s="28" t="s">
        <v>644</v>
      </c>
      <c r="C197" s="29" t="s">
        <v>676</v>
      </c>
      <c r="D197" s="29" t="s">
        <v>680</v>
      </c>
      <c r="E197" s="34" t="s">
        <v>93</v>
      </c>
      <c r="F197" s="29" t="s">
        <v>80</v>
      </c>
      <c r="G197" s="29" t="s">
        <v>562</v>
      </c>
      <c r="H197" s="25" t="s">
        <v>82</v>
      </c>
      <c r="I197" s="26" t="s">
        <v>38</v>
      </c>
      <c r="J197" s="29"/>
      <c r="K197" s="29"/>
      <c r="L197" s="29"/>
      <c r="M197" s="29" t="s">
        <v>681</v>
      </c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customFormat="false" ht="45" hidden="false" customHeight="true" outlineLevel="0" collapsed="false">
      <c r="A198" s="69" t="s">
        <v>682</v>
      </c>
      <c r="B198" s="28" t="s">
        <v>644</v>
      </c>
      <c r="C198" s="29" t="s">
        <v>673</v>
      </c>
      <c r="D198" s="29" t="s">
        <v>683</v>
      </c>
      <c r="E198" s="46" t="s">
        <v>247</v>
      </c>
      <c r="F198" s="29" t="s">
        <v>80</v>
      </c>
      <c r="G198" s="29" t="s">
        <v>81</v>
      </c>
      <c r="H198" s="25" t="s">
        <v>82</v>
      </c>
      <c r="I198" s="26" t="s">
        <v>38</v>
      </c>
      <c r="J198" s="29"/>
      <c r="K198" s="29"/>
      <c r="L198" s="29"/>
      <c r="M198" s="29" t="s">
        <v>684</v>
      </c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customFormat="false" ht="45" hidden="false" customHeight="true" outlineLevel="0" collapsed="false">
      <c r="A199" s="69" t="s">
        <v>685</v>
      </c>
      <c r="B199" s="28" t="s">
        <v>644</v>
      </c>
      <c r="C199" s="29" t="s">
        <v>673</v>
      </c>
      <c r="D199" s="29" t="s">
        <v>686</v>
      </c>
      <c r="E199" s="46" t="s">
        <v>247</v>
      </c>
      <c r="F199" s="29" t="s">
        <v>80</v>
      </c>
      <c r="G199" s="29" t="s">
        <v>687</v>
      </c>
      <c r="H199" s="25" t="s">
        <v>89</v>
      </c>
      <c r="I199" s="26" t="s">
        <v>38</v>
      </c>
      <c r="J199" s="29"/>
      <c r="K199" s="29"/>
      <c r="L199" s="29"/>
      <c r="M199" s="29" t="s">
        <v>688</v>
      </c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customFormat="false" ht="45" hidden="false" customHeight="true" outlineLevel="0" collapsed="false">
      <c r="A200" s="69" t="s">
        <v>689</v>
      </c>
      <c r="B200" s="28" t="s">
        <v>644</v>
      </c>
      <c r="C200" s="29" t="s">
        <v>673</v>
      </c>
      <c r="D200" s="29" t="s">
        <v>690</v>
      </c>
      <c r="E200" s="46" t="s">
        <v>247</v>
      </c>
      <c r="F200" s="29" t="s">
        <v>80</v>
      </c>
      <c r="G200" s="29" t="s">
        <v>687</v>
      </c>
      <c r="H200" s="25" t="s">
        <v>89</v>
      </c>
      <c r="I200" s="26" t="s">
        <v>38</v>
      </c>
      <c r="J200" s="29"/>
      <c r="K200" s="29"/>
      <c r="L200" s="29"/>
      <c r="M200" s="29" t="s">
        <v>691</v>
      </c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customFormat="false" ht="45" hidden="false" customHeight="true" outlineLevel="0" collapsed="false">
      <c r="A201" s="68" t="s">
        <v>692</v>
      </c>
      <c r="B201" s="22" t="s">
        <v>644</v>
      </c>
      <c r="C201" s="23" t="s">
        <v>646</v>
      </c>
      <c r="D201" s="23" t="s">
        <v>693</v>
      </c>
      <c r="E201" s="45" t="s">
        <v>247</v>
      </c>
      <c r="F201" s="23" t="s">
        <v>80</v>
      </c>
      <c r="G201" s="23" t="s">
        <v>81</v>
      </c>
      <c r="H201" s="25" t="s">
        <v>82</v>
      </c>
      <c r="I201" s="26" t="s">
        <v>38</v>
      </c>
      <c r="J201" s="23"/>
      <c r="K201" s="23"/>
      <c r="L201" s="23"/>
      <c r="M201" s="23" t="s">
        <v>694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customFormat="false" ht="45" hidden="false" customHeight="true" outlineLevel="0" collapsed="false">
      <c r="A202" s="69" t="s">
        <v>695</v>
      </c>
      <c r="B202" s="28" t="s">
        <v>644</v>
      </c>
      <c r="C202" s="29" t="s">
        <v>692</v>
      </c>
      <c r="D202" s="29" t="s">
        <v>696</v>
      </c>
      <c r="E202" s="46" t="s">
        <v>247</v>
      </c>
      <c r="F202" s="29" t="s">
        <v>80</v>
      </c>
      <c r="G202" s="29" t="s">
        <v>81</v>
      </c>
      <c r="H202" s="25" t="s">
        <v>82</v>
      </c>
      <c r="I202" s="26" t="s">
        <v>38</v>
      </c>
      <c r="J202" s="29"/>
      <c r="K202" s="29"/>
      <c r="L202" s="29"/>
      <c r="M202" s="29" t="s">
        <v>697</v>
      </c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customFormat="false" ht="45" hidden="false" customHeight="true" outlineLevel="0" collapsed="false">
      <c r="A203" s="69" t="s">
        <v>698</v>
      </c>
      <c r="B203" s="28" t="s">
        <v>644</v>
      </c>
      <c r="C203" s="29" t="s">
        <v>695</v>
      </c>
      <c r="D203" s="29" t="s">
        <v>699</v>
      </c>
      <c r="E203" s="46" t="s">
        <v>247</v>
      </c>
      <c r="F203" s="29" t="s">
        <v>80</v>
      </c>
      <c r="G203" s="29" t="s">
        <v>81</v>
      </c>
      <c r="H203" s="25" t="s">
        <v>82</v>
      </c>
      <c r="I203" s="26" t="s">
        <v>38</v>
      </c>
      <c r="J203" s="29"/>
      <c r="K203" s="29"/>
      <c r="L203" s="29"/>
      <c r="M203" s="29" t="s">
        <v>700</v>
      </c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customFormat="false" ht="45" hidden="false" customHeight="true" outlineLevel="0" collapsed="false">
      <c r="A204" s="69" t="s">
        <v>701</v>
      </c>
      <c r="B204" s="28" t="s">
        <v>644</v>
      </c>
      <c r="C204" s="29" t="s">
        <v>695</v>
      </c>
      <c r="D204" s="29" t="s">
        <v>702</v>
      </c>
      <c r="E204" s="46" t="s">
        <v>247</v>
      </c>
      <c r="F204" s="29" t="s">
        <v>80</v>
      </c>
      <c r="G204" s="29" t="s">
        <v>424</v>
      </c>
      <c r="H204" s="25" t="s">
        <v>82</v>
      </c>
      <c r="I204" s="26" t="s">
        <v>38</v>
      </c>
      <c r="J204" s="29"/>
      <c r="K204" s="29"/>
      <c r="L204" s="29"/>
      <c r="M204" s="29" t="s">
        <v>703</v>
      </c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customFormat="false" ht="45" hidden="false" customHeight="true" outlineLevel="0" collapsed="false">
      <c r="A205" s="69" t="s">
        <v>704</v>
      </c>
      <c r="B205" s="28" t="s">
        <v>644</v>
      </c>
      <c r="C205" s="29" t="s">
        <v>692</v>
      </c>
      <c r="D205" s="29" t="s">
        <v>705</v>
      </c>
      <c r="E205" s="46" t="s">
        <v>247</v>
      </c>
      <c r="F205" s="29" t="s">
        <v>80</v>
      </c>
      <c r="G205" s="29" t="s">
        <v>81</v>
      </c>
      <c r="H205" s="25" t="s">
        <v>89</v>
      </c>
      <c r="I205" s="26" t="s">
        <v>38</v>
      </c>
      <c r="J205" s="29"/>
      <c r="K205" s="29"/>
      <c r="L205" s="29"/>
      <c r="M205" s="29" t="s">
        <v>706</v>
      </c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customFormat="false" ht="45" hidden="false" customHeight="true" outlineLevel="0" collapsed="false">
      <c r="A206" s="69" t="s">
        <v>707</v>
      </c>
      <c r="B206" s="28" t="s">
        <v>644</v>
      </c>
      <c r="C206" s="29" t="s">
        <v>692</v>
      </c>
      <c r="D206" s="29" t="s">
        <v>708</v>
      </c>
      <c r="E206" s="46" t="s">
        <v>247</v>
      </c>
      <c r="F206" s="29" t="s">
        <v>80</v>
      </c>
      <c r="G206" s="29" t="s">
        <v>709</v>
      </c>
      <c r="H206" s="25" t="s">
        <v>82</v>
      </c>
      <c r="I206" s="26" t="s">
        <v>38</v>
      </c>
      <c r="J206" s="29"/>
      <c r="K206" s="29"/>
      <c r="L206" s="29"/>
      <c r="M206" s="29" t="s">
        <v>710</v>
      </c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customFormat="false" ht="45" hidden="false" customHeight="true" outlineLevel="0" collapsed="false">
      <c r="A207" s="69" t="s">
        <v>711</v>
      </c>
      <c r="B207" s="28" t="s">
        <v>644</v>
      </c>
      <c r="C207" s="29" t="s">
        <v>692</v>
      </c>
      <c r="D207" s="29" t="s">
        <v>712</v>
      </c>
      <c r="E207" s="46" t="s">
        <v>247</v>
      </c>
      <c r="F207" s="29" t="s">
        <v>80</v>
      </c>
      <c r="G207" s="29" t="s">
        <v>713</v>
      </c>
      <c r="H207" s="25" t="s">
        <v>82</v>
      </c>
      <c r="I207" s="26" t="s">
        <v>38</v>
      </c>
      <c r="J207" s="29"/>
      <c r="K207" s="29"/>
      <c r="L207" s="29"/>
      <c r="M207" s="29" t="s">
        <v>714</v>
      </c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customFormat="false" ht="45" hidden="false" customHeight="true" outlineLevel="0" collapsed="false">
      <c r="A208" s="69" t="s">
        <v>715</v>
      </c>
      <c r="B208" s="28" t="s">
        <v>644</v>
      </c>
      <c r="C208" s="29" t="s">
        <v>692</v>
      </c>
      <c r="D208" s="29" t="s">
        <v>716</v>
      </c>
      <c r="E208" s="46" t="s">
        <v>247</v>
      </c>
      <c r="F208" s="29" t="s">
        <v>80</v>
      </c>
      <c r="G208" s="29" t="s">
        <v>81</v>
      </c>
      <c r="H208" s="25" t="s">
        <v>82</v>
      </c>
      <c r="I208" s="26" t="s">
        <v>38</v>
      </c>
      <c r="J208" s="29"/>
      <c r="K208" s="29"/>
      <c r="L208" s="29"/>
      <c r="M208" s="29" t="s">
        <v>717</v>
      </c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customFormat="false" ht="45" hidden="false" customHeight="true" outlineLevel="0" collapsed="false">
      <c r="A209" s="69" t="s">
        <v>718</v>
      </c>
      <c r="B209" s="28" t="s">
        <v>644</v>
      </c>
      <c r="C209" s="29" t="s">
        <v>715</v>
      </c>
      <c r="D209" s="29" t="s">
        <v>719</v>
      </c>
      <c r="E209" s="46" t="s">
        <v>247</v>
      </c>
      <c r="F209" s="29" t="s">
        <v>80</v>
      </c>
      <c r="G209" s="29" t="s">
        <v>424</v>
      </c>
      <c r="H209" s="25" t="s">
        <v>82</v>
      </c>
      <c r="I209" s="26" t="s">
        <v>38</v>
      </c>
      <c r="J209" s="29"/>
      <c r="K209" s="29"/>
      <c r="L209" s="29"/>
      <c r="M209" s="29" t="s">
        <v>720</v>
      </c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customFormat="false" ht="45" hidden="false" customHeight="true" outlineLevel="0" collapsed="false">
      <c r="A210" s="69" t="s">
        <v>721</v>
      </c>
      <c r="B210" s="28" t="s">
        <v>644</v>
      </c>
      <c r="C210" s="29" t="s">
        <v>692</v>
      </c>
      <c r="D210" s="29" t="s">
        <v>722</v>
      </c>
      <c r="E210" s="35" t="s">
        <v>104</v>
      </c>
      <c r="F210" s="29" t="s">
        <v>80</v>
      </c>
      <c r="G210" s="29" t="s">
        <v>723</v>
      </c>
      <c r="H210" s="25" t="s">
        <v>82</v>
      </c>
      <c r="I210" s="26" t="s">
        <v>38</v>
      </c>
      <c r="J210" s="29"/>
      <c r="K210" s="29"/>
      <c r="L210" s="29"/>
      <c r="M210" s="29" t="s">
        <v>724</v>
      </c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customFormat="false" ht="45" hidden="false" customHeight="true" outlineLevel="0" collapsed="false">
      <c r="A211" s="69" t="s">
        <v>725</v>
      </c>
      <c r="B211" s="28" t="s">
        <v>644</v>
      </c>
      <c r="C211" s="29" t="s">
        <v>692</v>
      </c>
      <c r="D211" s="29" t="s">
        <v>726</v>
      </c>
      <c r="E211" s="35" t="s">
        <v>104</v>
      </c>
      <c r="F211" s="29" t="s">
        <v>80</v>
      </c>
      <c r="G211" s="29" t="s">
        <v>723</v>
      </c>
      <c r="H211" s="25" t="s">
        <v>82</v>
      </c>
      <c r="I211" s="26" t="s">
        <v>38</v>
      </c>
      <c r="J211" s="29"/>
      <c r="K211" s="29"/>
      <c r="L211" s="29"/>
      <c r="M211" s="29" t="s">
        <v>727</v>
      </c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customFormat="false" ht="45" hidden="false" customHeight="true" outlineLevel="0" collapsed="false">
      <c r="A212" s="68" t="s">
        <v>728</v>
      </c>
      <c r="B212" s="31" t="s">
        <v>644</v>
      </c>
      <c r="C212" s="32" t="s">
        <v>646</v>
      </c>
      <c r="D212" s="32" t="s">
        <v>729</v>
      </c>
      <c r="E212" s="33" t="s">
        <v>93</v>
      </c>
      <c r="F212" s="32" t="s">
        <v>80</v>
      </c>
      <c r="G212" s="32" t="s">
        <v>81</v>
      </c>
      <c r="H212" s="25" t="s">
        <v>82</v>
      </c>
      <c r="I212" s="26" t="s">
        <v>38</v>
      </c>
      <c r="J212" s="32"/>
      <c r="K212" s="32"/>
      <c r="L212" s="32"/>
      <c r="M212" s="32" t="s">
        <v>730</v>
      </c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 customFormat="false" ht="45" hidden="false" customHeight="true" outlineLevel="0" collapsed="false">
      <c r="A213" s="69" t="s">
        <v>731</v>
      </c>
      <c r="B213" s="28" t="s">
        <v>644</v>
      </c>
      <c r="C213" s="29" t="s">
        <v>728</v>
      </c>
      <c r="D213" s="29" t="s">
        <v>732</v>
      </c>
      <c r="E213" s="34" t="s">
        <v>93</v>
      </c>
      <c r="F213" s="29" t="s">
        <v>80</v>
      </c>
      <c r="G213" s="29" t="s">
        <v>370</v>
      </c>
      <c r="H213" s="25" t="s">
        <v>82</v>
      </c>
      <c r="I213" s="26" t="s">
        <v>38</v>
      </c>
      <c r="J213" s="29"/>
      <c r="K213" s="29"/>
      <c r="L213" s="29"/>
      <c r="M213" s="29" t="s">
        <v>733</v>
      </c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customFormat="false" ht="45" hidden="false" customHeight="true" outlineLevel="0" collapsed="false">
      <c r="A214" s="69" t="s">
        <v>734</v>
      </c>
      <c r="B214" s="28" t="s">
        <v>644</v>
      </c>
      <c r="C214" s="29" t="s">
        <v>731</v>
      </c>
      <c r="D214" s="29" t="s">
        <v>735</v>
      </c>
      <c r="E214" s="34" t="s">
        <v>93</v>
      </c>
      <c r="F214" s="29" t="s">
        <v>80</v>
      </c>
      <c r="G214" s="29" t="s">
        <v>81</v>
      </c>
      <c r="H214" s="25" t="s">
        <v>82</v>
      </c>
      <c r="I214" s="26" t="s">
        <v>38</v>
      </c>
      <c r="J214" s="29"/>
      <c r="K214" s="29"/>
      <c r="L214" s="29"/>
      <c r="M214" s="29" t="s">
        <v>736</v>
      </c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customFormat="false" ht="45" hidden="false" customHeight="true" outlineLevel="0" collapsed="false">
      <c r="A215" s="69" t="s">
        <v>737</v>
      </c>
      <c r="B215" s="28" t="s">
        <v>644</v>
      </c>
      <c r="C215" s="29" t="s">
        <v>731</v>
      </c>
      <c r="D215" s="29" t="s">
        <v>738</v>
      </c>
      <c r="E215" s="34" t="s">
        <v>93</v>
      </c>
      <c r="F215" s="29" t="s">
        <v>80</v>
      </c>
      <c r="G215" s="29" t="s">
        <v>370</v>
      </c>
      <c r="H215" s="25" t="s">
        <v>82</v>
      </c>
      <c r="I215" s="26" t="s">
        <v>38</v>
      </c>
      <c r="J215" s="29"/>
      <c r="K215" s="29"/>
      <c r="L215" s="29"/>
      <c r="M215" s="29" t="s">
        <v>739</v>
      </c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customFormat="false" ht="45" hidden="false" customHeight="true" outlineLevel="0" collapsed="false">
      <c r="A216" s="69" t="s">
        <v>740</v>
      </c>
      <c r="B216" s="28" t="s">
        <v>644</v>
      </c>
      <c r="C216" s="29" t="s">
        <v>737</v>
      </c>
      <c r="D216" s="29" t="s">
        <v>741</v>
      </c>
      <c r="E216" s="34" t="s">
        <v>93</v>
      </c>
      <c r="F216" s="29" t="s">
        <v>80</v>
      </c>
      <c r="G216" s="29" t="s">
        <v>374</v>
      </c>
      <c r="H216" s="25" t="s">
        <v>89</v>
      </c>
      <c r="I216" s="26" t="s">
        <v>38</v>
      </c>
      <c r="J216" s="29"/>
      <c r="K216" s="29"/>
      <c r="L216" s="29"/>
      <c r="M216" s="29" t="s">
        <v>742</v>
      </c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customFormat="false" ht="45" hidden="false" customHeight="true" outlineLevel="0" collapsed="false">
      <c r="A217" s="69" t="s">
        <v>743</v>
      </c>
      <c r="B217" s="28" t="s">
        <v>644</v>
      </c>
      <c r="C217" s="29" t="s">
        <v>731</v>
      </c>
      <c r="D217" s="29" t="s">
        <v>744</v>
      </c>
      <c r="E217" s="34" t="s">
        <v>93</v>
      </c>
      <c r="F217" s="29" t="s">
        <v>80</v>
      </c>
      <c r="G217" s="29" t="s">
        <v>424</v>
      </c>
      <c r="H217" s="25" t="s">
        <v>82</v>
      </c>
      <c r="I217" s="26" t="s">
        <v>38</v>
      </c>
      <c r="J217" s="29"/>
      <c r="K217" s="29"/>
      <c r="L217" s="29"/>
      <c r="M217" s="29" t="s">
        <v>745</v>
      </c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customFormat="false" ht="18" hidden="false" customHeight="true" outlineLevel="0" collapsed="false">
      <c r="A218" s="70" t="s">
        <v>746</v>
      </c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</row>
    <row r="219" customFormat="false" ht="45" hidden="false" customHeight="true" outlineLevel="0" collapsed="false">
      <c r="A219" s="71" t="s">
        <v>747</v>
      </c>
      <c r="B219" s="22" t="s">
        <v>746</v>
      </c>
      <c r="C219" s="23" t="s">
        <v>748</v>
      </c>
      <c r="D219" s="23" t="s">
        <v>749</v>
      </c>
      <c r="E219" s="24" t="s">
        <v>79</v>
      </c>
      <c r="F219" s="23" t="s">
        <v>80</v>
      </c>
      <c r="G219" s="23" t="s">
        <v>81</v>
      </c>
      <c r="H219" s="25" t="s">
        <v>82</v>
      </c>
      <c r="I219" s="26" t="s">
        <v>38</v>
      </c>
      <c r="J219" s="23"/>
      <c r="K219" s="23"/>
      <c r="L219" s="23"/>
      <c r="M219" s="23" t="s">
        <v>750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customFormat="false" ht="45" hidden="false" customHeight="true" outlineLevel="0" collapsed="false">
      <c r="A220" s="72" t="s">
        <v>751</v>
      </c>
      <c r="B220" s="28" t="s">
        <v>746</v>
      </c>
      <c r="C220" s="29" t="s">
        <v>747</v>
      </c>
      <c r="D220" s="29" t="s">
        <v>752</v>
      </c>
      <c r="E220" s="30" t="s">
        <v>79</v>
      </c>
      <c r="F220" s="29" t="s">
        <v>80</v>
      </c>
      <c r="G220" s="29" t="s">
        <v>81</v>
      </c>
      <c r="H220" s="25" t="s">
        <v>82</v>
      </c>
      <c r="I220" s="26" t="s">
        <v>38</v>
      </c>
      <c r="J220" s="29"/>
      <c r="K220" s="29"/>
      <c r="L220" s="29"/>
      <c r="M220" s="29" t="s">
        <v>753</v>
      </c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customFormat="false" ht="45" hidden="false" customHeight="true" outlineLevel="0" collapsed="false">
      <c r="A221" s="72" t="s">
        <v>754</v>
      </c>
      <c r="B221" s="28" t="s">
        <v>746</v>
      </c>
      <c r="C221" s="29" t="s">
        <v>747</v>
      </c>
      <c r="D221" s="29" t="s">
        <v>755</v>
      </c>
      <c r="E221" s="30" t="s">
        <v>79</v>
      </c>
      <c r="F221" s="29" t="s">
        <v>80</v>
      </c>
      <c r="G221" s="29" t="s">
        <v>81</v>
      </c>
      <c r="H221" s="25" t="s">
        <v>89</v>
      </c>
      <c r="I221" s="26" t="s">
        <v>38</v>
      </c>
      <c r="J221" s="29"/>
      <c r="K221" s="29"/>
      <c r="L221" s="29"/>
      <c r="M221" s="29" t="s">
        <v>756</v>
      </c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customFormat="false" ht="45" hidden="false" customHeight="true" outlineLevel="0" collapsed="false">
      <c r="A222" s="71" t="s">
        <v>757</v>
      </c>
      <c r="B222" s="31" t="s">
        <v>746</v>
      </c>
      <c r="C222" s="32" t="s">
        <v>748</v>
      </c>
      <c r="D222" s="32" t="s">
        <v>758</v>
      </c>
      <c r="E222" s="73" t="s">
        <v>497</v>
      </c>
      <c r="F222" s="32" t="s">
        <v>80</v>
      </c>
      <c r="G222" s="32" t="s">
        <v>81</v>
      </c>
      <c r="H222" s="25" t="s">
        <v>82</v>
      </c>
      <c r="I222" s="26" t="s">
        <v>38</v>
      </c>
      <c r="J222" s="32"/>
      <c r="K222" s="32"/>
      <c r="L222" s="32"/>
      <c r="M222" s="32" t="s">
        <v>759</v>
      </c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 customFormat="false" ht="45" hidden="false" customHeight="true" outlineLevel="0" collapsed="false">
      <c r="A223" s="72" t="s">
        <v>760</v>
      </c>
      <c r="B223" s="28" t="s">
        <v>746</v>
      </c>
      <c r="C223" s="29" t="s">
        <v>757</v>
      </c>
      <c r="D223" s="29" t="s">
        <v>761</v>
      </c>
      <c r="E223" s="63" t="s">
        <v>497</v>
      </c>
      <c r="F223" s="29" t="s">
        <v>80</v>
      </c>
      <c r="G223" s="29" t="s">
        <v>81</v>
      </c>
      <c r="H223" s="25" t="s">
        <v>82</v>
      </c>
      <c r="I223" s="26" t="s">
        <v>38</v>
      </c>
      <c r="J223" s="29"/>
      <c r="K223" s="29"/>
      <c r="L223" s="29"/>
      <c r="M223" s="29" t="s">
        <v>762</v>
      </c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customFormat="false" ht="45" hidden="false" customHeight="true" outlineLevel="0" collapsed="false">
      <c r="A224" s="72" t="s">
        <v>763</v>
      </c>
      <c r="B224" s="28" t="s">
        <v>746</v>
      </c>
      <c r="C224" s="29" t="s">
        <v>760</v>
      </c>
      <c r="D224" s="29" t="s">
        <v>764</v>
      </c>
      <c r="E224" s="63" t="s">
        <v>497</v>
      </c>
      <c r="F224" s="29" t="s">
        <v>80</v>
      </c>
      <c r="G224" s="29" t="s">
        <v>81</v>
      </c>
      <c r="H224" s="25" t="s">
        <v>82</v>
      </c>
      <c r="I224" s="26" t="s">
        <v>38</v>
      </c>
      <c r="J224" s="29"/>
      <c r="K224" s="29"/>
      <c r="L224" s="29"/>
      <c r="M224" s="29" t="s">
        <v>765</v>
      </c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customFormat="false" ht="45" hidden="false" customHeight="true" outlineLevel="0" collapsed="false">
      <c r="A225" s="72" t="s">
        <v>766</v>
      </c>
      <c r="B225" s="28" t="s">
        <v>746</v>
      </c>
      <c r="C225" s="29" t="s">
        <v>760</v>
      </c>
      <c r="D225" s="29" t="s">
        <v>767</v>
      </c>
      <c r="E225" s="63" t="s">
        <v>497</v>
      </c>
      <c r="F225" s="29" t="s">
        <v>80</v>
      </c>
      <c r="G225" s="29" t="s">
        <v>81</v>
      </c>
      <c r="H225" s="25" t="s">
        <v>82</v>
      </c>
      <c r="I225" s="26" t="s">
        <v>38</v>
      </c>
      <c r="J225" s="29"/>
      <c r="K225" s="29"/>
      <c r="L225" s="29"/>
      <c r="M225" s="29" t="s">
        <v>768</v>
      </c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customFormat="false" ht="45" hidden="false" customHeight="true" outlineLevel="0" collapsed="false">
      <c r="A226" s="72" t="s">
        <v>769</v>
      </c>
      <c r="B226" s="28" t="s">
        <v>746</v>
      </c>
      <c r="C226" s="29" t="s">
        <v>760</v>
      </c>
      <c r="D226" s="29" t="s">
        <v>770</v>
      </c>
      <c r="E226" s="63" t="s">
        <v>497</v>
      </c>
      <c r="F226" s="29" t="s">
        <v>80</v>
      </c>
      <c r="G226" s="29" t="s">
        <v>81</v>
      </c>
      <c r="H226" s="25" t="s">
        <v>82</v>
      </c>
      <c r="I226" s="26" t="s">
        <v>38</v>
      </c>
      <c r="J226" s="29"/>
      <c r="K226" s="29"/>
      <c r="L226" s="29"/>
      <c r="M226" s="29" t="s">
        <v>771</v>
      </c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customFormat="false" ht="45" hidden="false" customHeight="true" outlineLevel="0" collapsed="false">
      <c r="A227" s="72" t="s">
        <v>772</v>
      </c>
      <c r="B227" s="28" t="s">
        <v>746</v>
      </c>
      <c r="C227" s="29" t="s">
        <v>760</v>
      </c>
      <c r="D227" s="29" t="s">
        <v>773</v>
      </c>
      <c r="E227" s="63" t="s">
        <v>497</v>
      </c>
      <c r="F227" s="29" t="s">
        <v>80</v>
      </c>
      <c r="G227" s="29" t="s">
        <v>81</v>
      </c>
      <c r="H227" s="25" t="s">
        <v>82</v>
      </c>
      <c r="I227" s="26" t="s">
        <v>38</v>
      </c>
      <c r="J227" s="29"/>
      <c r="K227" s="29"/>
      <c r="L227" s="29"/>
      <c r="M227" s="29" t="s">
        <v>774</v>
      </c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customFormat="false" ht="45" hidden="false" customHeight="true" outlineLevel="0" collapsed="false">
      <c r="A228" s="72" t="s">
        <v>775</v>
      </c>
      <c r="B228" s="28" t="s">
        <v>746</v>
      </c>
      <c r="C228" s="29" t="s">
        <v>760</v>
      </c>
      <c r="D228" s="29" t="s">
        <v>776</v>
      </c>
      <c r="E228" s="63" t="s">
        <v>497</v>
      </c>
      <c r="F228" s="29" t="s">
        <v>80</v>
      </c>
      <c r="G228" s="29" t="s">
        <v>81</v>
      </c>
      <c r="H228" s="25" t="s">
        <v>82</v>
      </c>
      <c r="I228" s="26" t="s">
        <v>38</v>
      </c>
      <c r="J228" s="29"/>
      <c r="K228" s="29"/>
      <c r="L228" s="29"/>
      <c r="M228" s="29" t="s">
        <v>777</v>
      </c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customFormat="false" ht="45" hidden="false" customHeight="true" outlineLevel="0" collapsed="false">
      <c r="A229" s="72" t="s">
        <v>778</v>
      </c>
      <c r="B229" s="28" t="s">
        <v>746</v>
      </c>
      <c r="C229" s="29" t="s">
        <v>760</v>
      </c>
      <c r="D229" s="29" t="s">
        <v>779</v>
      </c>
      <c r="E229" s="63" t="s">
        <v>497</v>
      </c>
      <c r="F229" s="29" t="s">
        <v>80</v>
      </c>
      <c r="G229" s="29" t="s">
        <v>81</v>
      </c>
      <c r="H229" s="25" t="s">
        <v>82</v>
      </c>
      <c r="I229" s="26" t="s">
        <v>38</v>
      </c>
      <c r="J229" s="29"/>
      <c r="K229" s="29"/>
      <c r="L229" s="29"/>
      <c r="M229" s="29" t="s">
        <v>780</v>
      </c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customFormat="false" ht="45" hidden="false" customHeight="true" outlineLevel="0" collapsed="false">
      <c r="A230" s="72" t="s">
        <v>781</v>
      </c>
      <c r="B230" s="28" t="s">
        <v>746</v>
      </c>
      <c r="C230" s="29" t="s">
        <v>760</v>
      </c>
      <c r="D230" s="29" t="s">
        <v>782</v>
      </c>
      <c r="E230" s="63" t="s">
        <v>497</v>
      </c>
      <c r="F230" s="29" t="s">
        <v>80</v>
      </c>
      <c r="G230" s="29" t="s">
        <v>81</v>
      </c>
      <c r="H230" s="25" t="s">
        <v>82</v>
      </c>
      <c r="I230" s="26" t="s">
        <v>38</v>
      </c>
      <c r="J230" s="29"/>
      <c r="K230" s="29"/>
      <c r="L230" s="29"/>
      <c r="M230" s="29" t="s">
        <v>783</v>
      </c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customFormat="false" ht="45" hidden="false" customHeight="true" outlineLevel="0" collapsed="false">
      <c r="A231" s="72" t="s">
        <v>784</v>
      </c>
      <c r="B231" s="28" t="s">
        <v>746</v>
      </c>
      <c r="C231" s="29" t="s">
        <v>757</v>
      </c>
      <c r="D231" s="29" t="s">
        <v>785</v>
      </c>
      <c r="E231" s="63" t="s">
        <v>497</v>
      </c>
      <c r="F231" s="29" t="s">
        <v>80</v>
      </c>
      <c r="G231" s="29" t="s">
        <v>81</v>
      </c>
      <c r="H231" s="25" t="s">
        <v>82</v>
      </c>
      <c r="I231" s="26" t="s">
        <v>38</v>
      </c>
      <c r="J231" s="29"/>
      <c r="K231" s="29"/>
      <c r="L231" s="29"/>
      <c r="M231" s="29" t="s">
        <v>786</v>
      </c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customFormat="false" ht="45" hidden="false" customHeight="true" outlineLevel="0" collapsed="false">
      <c r="A232" s="71" t="s">
        <v>787</v>
      </c>
      <c r="B232" s="31" t="s">
        <v>746</v>
      </c>
      <c r="C232" s="32" t="s">
        <v>748</v>
      </c>
      <c r="D232" s="32" t="s">
        <v>788</v>
      </c>
      <c r="E232" s="73" t="s">
        <v>497</v>
      </c>
      <c r="F232" s="32" t="s">
        <v>80</v>
      </c>
      <c r="G232" s="32" t="s">
        <v>81</v>
      </c>
      <c r="H232" s="25" t="s">
        <v>82</v>
      </c>
      <c r="I232" s="26" t="s">
        <v>38</v>
      </c>
      <c r="J232" s="32"/>
      <c r="K232" s="32"/>
      <c r="L232" s="32"/>
      <c r="M232" s="32" t="s">
        <v>789</v>
      </c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 customFormat="false" ht="45" hidden="false" customHeight="true" outlineLevel="0" collapsed="false">
      <c r="A233" s="72" t="s">
        <v>790</v>
      </c>
      <c r="B233" s="28" t="s">
        <v>746</v>
      </c>
      <c r="C233" s="29" t="s">
        <v>787</v>
      </c>
      <c r="D233" s="29" t="s">
        <v>791</v>
      </c>
      <c r="E233" s="63" t="s">
        <v>497</v>
      </c>
      <c r="F233" s="29" t="s">
        <v>80</v>
      </c>
      <c r="G233" s="29" t="s">
        <v>81</v>
      </c>
      <c r="H233" s="25" t="s">
        <v>82</v>
      </c>
      <c r="I233" s="26" t="s">
        <v>38</v>
      </c>
      <c r="J233" s="29"/>
      <c r="K233" s="29"/>
      <c r="L233" s="29"/>
      <c r="M233" s="29" t="s">
        <v>792</v>
      </c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customFormat="false" ht="45" hidden="false" customHeight="true" outlineLevel="0" collapsed="false">
      <c r="A234" s="72" t="s">
        <v>793</v>
      </c>
      <c r="B234" s="28" t="s">
        <v>746</v>
      </c>
      <c r="C234" s="29" t="s">
        <v>787</v>
      </c>
      <c r="D234" s="29" t="s">
        <v>794</v>
      </c>
      <c r="E234" s="63" t="s">
        <v>497</v>
      </c>
      <c r="F234" s="29" t="s">
        <v>80</v>
      </c>
      <c r="G234" s="29" t="s">
        <v>81</v>
      </c>
      <c r="H234" s="25" t="s">
        <v>82</v>
      </c>
      <c r="I234" s="26" t="s">
        <v>38</v>
      </c>
      <c r="J234" s="29"/>
      <c r="K234" s="29"/>
      <c r="L234" s="29"/>
      <c r="M234" s="29" t="s">
        <v>795</v>
      </c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customFormat="false" ht="45" hidden="false" customHeight="true" outlineLevel="0" collapsed="false">
      <c r="A235" s="72" t="s">
        <v>796</v>
      </c>
      <c r="B235" s="28" t="s">
        <v>746</v>
      </c>
      <c r="C235" s="29" t="s">
        <v>787</v>
      </c>
      <c r="D235" s="29" t="s">
        <v>797</v>
      </c>
      <c r="E235" s="63" t="s">
        <v>497</v>
      </c>
      <c r="F235" s="29" t="s">
        <v>80</v>
      </c>
      <c r="G235" s="29" t="s">
        <v>81</v>
      </c>
      <c r="H235" s="25" t="s">
        <v>82</v>
      </c>
      <c r="I235" s="26" t="s">
        <v>38</v>
      </c>
      <c r="J235" s="29"/>
      <c r="K235" s="29"/>
      <c r="L235" s="29"/>
      <c r="M235" s="29" t="s">
        <v>798</v>
      </c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customFormat="false" ht="45" hidden="false" customHeight="true" outlineLevel="0" collapsed="false">
      <c r="A236" s="72" t="s">
        <v>799</v>
      </c>
      <c r="B236" s="28" t="s">
        <v>746</v>
      </c>
      <c r="C236" s="29" t="s">
        <v>787</v>
      </c>
      <c r="D236" s="29" t="s">
        <v>800</v>
      </c>
      <c r="E236" s="63" t="s">
        <v>497</v>
      </c>
      <c r="F236" s="29" t="s">
        <v>80</v>
      </c>
      <c r="G236" s="29" t="s">
        <v>81</v>
      </c>
      <c r="H236" s="25" t="s">
        <v>82</v>
      </c>
      <c r="I236" s="26" t="s">
        <v>38</v>
      </c>
      <c r="J236" s="29"/>
      <c r="K236" s="29"/>
      <c r="L236" s="29"/>
      <c r="M236" s="29" t="s">
        <v>801</v>
      </c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customFormat="false" ht="45" hidden="false" customHeight="true" outlineLevel="0" collapsed="false">
      <c r="A237" s="71" t="s">
        <v>802</v>
      </c>
      <c r="B237" s="22" t="s">
        <v>746</v>
      </c>
      <c r="C237" s="23" t="s">
        <v>748</v>
      </c>
      <c r="D237" s="23" t="s">
        <v>803</v>
      </c>
      <c r="E237" s="62" t="s">
        <v>497</v>
      </c>
      <c r="F237" s="23" t="s">
        <v>80</v>
      </c>
      <c r="G237" s="23" t="s">
        <v>804</v>
      </c>
      <c r="H237" s="25" t="s">
        <v>82</v>
      </c>
      <c r="I237" s="26" t="s">
        <v>38</v>
      </c>
      <c r="J237" s="23"/>
      <c r="K237" s="23"/>
      <c r="L237" s="23"/>
      <c r="M237" s="23" t="s">
        <v>805</v>
      </c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customFormat="false" ht="45" hidden="false" customHeight="true" outlineLevel="0" collapsed="false">
      <c r="A238" s="72" t="s">
        <v>806</v>
      </c>
      <c r="B238" s="28" t="s">
        <v>746</v>
      </c>
      <c r="C238" s="29" t="s">
        <v>802</v>
      </c>
      <c r="D238" s="29" t="s">
        <v>807</v>
      </c>
      <c r="E238" s="63" t="s">
        <v>497</v>
      </c>
      <c r="F238" s="29" t="s">
        <v>80</v>
      </c>
      <c r="G238" s="29" t="s">
        <v>804</v>
      </c>
      <c r="H238" s="25" t="s">
        <v>82</v>
      </c>
      <c r="I238" s="26" t="s">
        <v>38</v>
      </c>
      <c r="J238" s="29"/>
      <c r="K238" s="29"/>
      <c r="L238" s="29"/>
      <c r="M238" s="29" t="s">
        <v>808</v>
      </c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customFormat="false" ht="45" hidden="false" customHeight="true" outlineLevel="0" collapsed="false">
      <c r="A239" s="72" t="s">
        <v>809</v>
      </c>
      <c r="B239" s="28" t="s">
        <v>746</v>
      </c>
      <c r="C239" s="29" t="s">
        <v>806</v>
      </c>
      <c r="D239" s="29" t="s">
        <v>810</v>
      </c>
      <c r="E239" s="63" t="s">
        <v>497</v>
      </c>
      <c r="F239" s="29" t="s">
        <v>80</v>
      </c>
      <c r="G239" s="29" t="s">
        <v>804</v>
      </c>
      <c r="H239" s="25" t="s">
        <v>82</v>
      </c>
      <c r="I239" s="26" t="s">
        <v>38</v>
      </c>
      <c r="J239" s="29"/>
      <c r="K239" s="29"/>
      <c r="L239" s="29"/>
      <c r="M239" s="29" t="s">
        <v>811</v>
      </c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customFormat="false" ht="45" hidden="false" customHeight="true" outlineLevel="0" collapsed="false">
      <c r="A240" s="72" t="s">
        <v>812</v>
      </c>
      <c r="B240" s="28" t="s">
        <v>746</v>
      </c>
      <c r="C240" s="29" t="s">
        <v>802</v>
      </c>
      <c r="D240" s="29" t="s">
        <v>813</v>
      </c>
      <c r="E240" s="63" t="s">
        <v>497</v>
      </c>
      <c r="F240" s="29" t="s">
        <v>80</v>
      </c>
      <c r="G240" s="29" t="s">
        <v>370</v>
      </c>
      <c r="H240" s="25" t="s">
        <v>89</v>
      </c>
      <c r="I240" s="26" t="s">
        <v>38</v>
      </c>
      <c r="J240" s="29"/>
      <c r="K240" s="29"/>
      <c r="L240" s="29"/>
      <c r="M240" s="29" t="s">
        <v>814</v>
      </c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customFormat="false" ht="45" hidden="false" customHeight="true" outlineLevel="0" collapsed="false">
      <c r="A241" s="72" t="s">
        <v>815</v>
      </c>
      <c r="B241" s="28" t="s">
        <v>746</v>
      </c>
      <c r="C241" s="29" t="s">
        <v>812</v>
      </c>
      <c r="D241" s="29" t="s">
        <v>816</v>
      </c>
      <c r="E241" s="63" t="s">
        <v>497</v>
      </c>
      <c r="F241" s="29" t="s">
        <v>80</v>
      </c>
      <c r="G241" s="29" t="s">
        <v>374</v>
      </c>
      <c r="H241" s="25" t="s">
        <v>89</v>
      </c>
      <c r="I241" s="26" t="s">
        <v>38</v>
      </c>
      <c r="J241" s="29"/>
      <c r="K241" s="29"/>
      <c r="L241" s="29"/>
      <c r="M241" s="29" t="s">
        <v>817</v>
      </c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customFormat="false" ht="45" hidden="false" customHeight="true" outlineLevel="0" collapsed="false">
      <c r="A242" s="72" t="s">
        <v>818</v>
      </c>
      <c r="B242" s="28" t="s">
        <v>746</v>
      </c>
      <c r="C242" s="29" t="s">
        <v>802</v>
      </c>
      <c r="D242" s="29" t="s">
        <v>819</v>
      </c>
      <c r="E242" s="63" t="s">
        <v>497</v>
      </c>
      <c r="F242" s="29" t="s">
        <v>80</v>
      </c>
      <c r="G242" s="29" t="s">
        <v>820</v>
      </c>
      <c r="H242" s="25" t="s">
        <v>82</v>
      </c>
      <c r="I242" s="26" t="s">
        <v>38</v>
      </c>
      <c r="J242" s="29"/>
      <c r="K242" s="29"/>
      <c r="L242" s="29"/>
      <c r="M242" s="29" t="s">
        <v>821</v>
      </c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customFormat="false" ht="45" hidden="false" customHeight="true" outlineLevel="0" collapsed="false">
      <c r="A243" s="71" t="s">
        <v>822</v>
      </c>
      <c r="B243" s="22" t="s">
        <v>746</v>
      </c>
      <c r="C243" s="23" t="s">
        <v>748</v>
      </c>
      <c r="D243" s="23" t="s">
        <v>823</v>
      </c>
      <c r="E243" s="62" t="s">
        <v>497</v>
      </c>
      <c r="F243" s="23" t="s">
        <v>80</v>
      </c>
      <c r="G243" s="23" t="s">
        <v>81</v>
      </c>
      <c r="H243" s="25" t="s">
        <v>82</v>
      </c>
      <c r="I243" s="26" t="s">
        <v>38</v>
      </c>
      <c r="J243" s="23"/>
      <c r="K243" s="23"/>
      <c r="L243" s="23"/>
      <c r="M243" s="23" t="s">
        <v>824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customFormat="false" ht="45" hidden="false" customHeight="true" outlineLevel="0" collapsed="false">
      <c r="A244" s="72" t="s">
        <v>825</v>
      </c>
      <c r="B244" s="28" t="s">
        <v>746</v>
      </c>
      <c r="C244" s="29" t="s">
        <v>822</v>
      </c>
      <c r="D244" s="29" t="s">
        <v>826</v>
      </c>
      <c r="E244" s="63" t="s">
        <v>497</v>
      </c>
      <c r="F244" s="29" t="s">
        <v>80</v>
      </c>
      <c r="G244" s="29" t="s">
        <v>81</v>
      </c>
      <c r="H244" s="25" t="s">
        <v>82</v>
      </c>
      <c r="I244" s="26" t="s">
        <v>38</v>
      </c>
      <c r="J244" s="29"/>
      <c r="K244" s="29"/>
      <c r="L244" s="29"/>
      <c r="M244" s="29" t="s">
        <v>827</v>
      </c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customFormat="false" ht="45" hidden="false" customHeight="true" outlineLevel="0" collapsed="false">
      <c r="A245" s="71" t="s">
        <v>828</v>
      </c>
      <c r="B245" s="22" t="s">
        <v>746</v>
      </c>
      <c r="C245" s="23" t="s">
        <v>748</v>
      </c>
      <c r="D245" s="23" t="s">
        <v>829</v>
      </c>
      <c r="E245" s="62" t="s">
        <v>497</v>
      </c>
      <c r="F245" s="23" t="s">
        <v>80</v>
      </c>
      <c r="G245" s="23" t="s">
        <v>81</v>
      </c>
      <c r="H245" s="25" t="s">
        <v>82</v>
      </c>
      <c r="I245" s="26" t="s">
        <v>38</v>
      </c>
      <c r="J245" s="23"/>
      <c r="K245" s="23"/>
      <c r="L245" s="23"/>
      <c r="M245" s="23" t="s">
        <v>830</v>
      </c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customFormat="false" ht="45" hidden="false" customHeight="true" outlineLevel="0" collapsed="false">
      <c r="A246" s="72" t="s">
        <v>831</v>
      </c>
      <c r="B246" s="28" t="s">
        <v>746</v>
      </c>
      <c r="C246" s="29" t="s">
        <v>828</v>
      </c>
      <c r="D246" s="29" t="s">
        <v>832</v>
      </c>
      <c r="E246" s="63" t="s">
        <v>497</v>
      </c>
      <c r="F246" s="29" t="s">
        <v>80</v>
      </c>
      <c r="G246" s="29" t="s">
        <v>81</v>
      </c>
      <c r="H246" s="25" t="s">
        <v>82</v>
      </c>
      <c r="I246" s="26" t="s">
        <v>38</v>
      </c>
      <c r="J246" s="29"/>
      <c r="K246" s="29"/>
      <c r="L246" s="29"/>
      <c r="M246" s="29" t="s">
        <v>833</v>
      </c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customFormat="false" ht="45" hidden="false" customHeight="true" outlineLevel="0" collapsed="false">
      <c r="A247" s="72" t="s">
        <v>834</v>
      </c>
      <c r="B247" s="28" t="s">
        <v>746</v>
      </c>
      <c r="C247" s="29" t="s">
        <v>828</v>
      </c>
      <c r="D247" s="29" t="s">
        <v>835</v>
      </c>
      <c r="E247" s="63" t="s">
        <v>497</v>
      </c>
      <c r="F247" s="29" t="s">
        <v>80</v>
      </c>
      <c r="G247" s="29" t="s">
        <v>81</v>
      </c>
      <c r="H247" s="25" t="s">
        <v>82</v>
      </c>
      <c r="I247" s="26" t="s">
        <v>38</v>
      </c>
      <c r="J247" s="29"/>
      <c r="K247" s="29"/>
      <c r="L247" s="29"/>
      <c r="M247" s="29" t="s">
        <v>836</v>
      </c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customFormat="false" ht="45" hidden="false" customHeight="true" outlineLevel="0" collapsed="false">
      <c r="A248" s="72" t="s">
        <v>837</v>
      </c>
      <c r="B248" s="28" t="s">
        <v>746</v>
      </c>
      <c r="C248" s="29" t="s">
        <v>828</v>
      </c>
      <c r="D248" s="29" t="s">
        <v>838</v>
      </c>
      <c r="E248" s="63" t="s">
        <v>497</v>
      </c>
      <c r="F248" s="29" t="s">
        <v>80</v>
      </c>
      <c r="G248" s="29" t="s">
        <v>81</v>
      </c>
      <c r="H248" s="25" t="s">
        <v>89</v>
      </c>
      <c r="I248" s="26" t="s">
        <v>38</v>
      </c>
      <c r="J248" s="29"/>
      <c r="K248" s="29"/>
      <c r="L248" s="29"/>
      <c r="M248" s="29" t="s">
        <v>839</v>
      </c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customFormat="false" ht="45" hidden="false" customHeight="true" outlineLevel="0" collapsed="false">
      <c r="A249" s="71" t="s">
        <v>840</v>
      </c>
      <c r="B249" s="22" t="s">
        <v>746</v>
      </c>
      <c r="C249" s="23" t="s">
        <v>748</v>
      </c>
      <c r="D249" s="23" t="s">
        <v>841</v>
      </c>
      <c r="E249" s="62" t="s">
        <v>497</v>
      </c>
      <c r="F249" s="23" t="s">
        <v>80</v>
      </c>
      <c r="G249" s="23" t="s">
        <v>81</v>
      </c>
      <c r="H249" s="25" t="s">
        <v>82</v>
      </c>
      <c r="I249" s="26" t="s">
        <v>38</v>
      </c>
      <c r="J249" s="23"/>
      <c r="K249" s="23"/>
      <c r="L249" s="23"/>
      <c r="M249" s="23" t="s">
        <v>842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customFormat="false" ht="45" hidden="false" customHeight="true" outlineLevel="0" collapsed="false">
      <c r="A250" s="72" t="s">
        <v>843</v>
      </c>
      <c r="B250" s="28" t="s">
        <v>746</v>
      </c>
      <c r="C250" s="29" t="s">
        <v>840</v>
      </c>
      <c r="D250" s="29" t="s">
        <v>844</v>
      </c>
      <c r="E250" s="63" t="s">
        <v>497</v>
      </c>
      <c r="F250" s="29" t="s">
        <v>278</v>
      </c>
      <c r="G250" s="29" t="s">
        <v>81</v>
      </c>
      <c r="H250" s="25" t="s">
        <v>82</v>
      </c>
      <c r="I250" s="26" t="s">
        <v>38</v>
      </c>
      <c r="J250" s="29"/>
      <c r="K250" s="29"/>
      <c r="L250" s="29"/>
      <c r="M250" s="29" t="s">
        <v>845</v>
      </c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customFormat="false" ht="45" hidden="false" customHeight="true" outlineLevel="0" collapsed="false">
      <c r="A251" s="72" t="s">
        <v>846</v>
      </c>
      <c r="B251" s="28" t="s">
        <v>746</v>
      </c>
      <c r="C251" s="29" t="s">
        <v>840</v>
      </c>
      <c r="D251" s="29" t="s">
        <v>847</v>
      </c>
      <c r="E251" s="63" t="s">
        <v>497</v>
      </c>
      <c r="F251" s="29" t="s">
        <v>80</v>
      </c>
      <c r="G251" s="29" t="s">
        <v>81</v>
      </c>
      <c r="H251" s="25" t="s">
        <v>82</v>
      </c>
      <c r="I251" s="26" t="s">
        <v>38</v>
      </c>
      <c r="J251" s="29"/>
      <c r="K251" s="29"/>
      <c r="L251" s="29"/>
      <c r="M251" s="29" t="s">
        <v>848</v>
      </c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customFormat="false" ht="45" hidden="false" customHeight="true" outlineLevel="0" collapsed="false">
      <c r="A252" s="72" t="s">
        <v>849</v>
      </c>
      <c r="B252" s="28" t="s">
        <v>746</v>
      </c>
      <c r="C252" s="29" t="s">
        <v>840</v>
      </c>
      <c r="D252" s="29" t="s">
        <v>850</v>
      </c>
      <c r="E252" s="63" t="s">
        <v>497</v>
      </c>
      <c r="F252" s="29" t="s">
        <v>80</v>
      </c>
      <c r="G252" s="29" t="s">
        <v>851</v>
      </c>
      <c r="H252" s="25" t="s">
        <v>82</v>
      </c>
      <c r="I252" s="26" t="s">
        <v>38</v>
      </c>
      <c r="J252" s="29"/>
      <c r="K252" s="29"/>
      <c r="L252" s="29"/>
      <c r="M252" s="29" t="s">
        <v>852</v>
      </c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customFormat="false" ht="18" hidden="false" customHeight="true" outlineLevel="0" collapsed="false">
      <c r="A253" s="74" t="s">
        <v>853</v>
      </c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</row>
    <row r="254" customFormat="false" ht="45" hidden="false" customHeight="true" outlineLevel="0" collapsed="false">
      <c r="A254" s="75" t="s">
        <v>854</v>
      </c>
      <c r="B254" s="31" t="s">
        <v>853</v>
      </c>
      <c r="C254" s="32" t="s">
        <v>855</v>
      </c>
      <c r="D254" s="32" t="s">
        <v>856</v>
      </c>
      <c r="E254" s="39" t="s">
        <v>79</v>
      </c>
      <c r="F254" s="32" t="s">
        <v>80</v>
      </c>
      <c r="G254" s="32" t="s">
        <v>81</v>
      </c>
      <c r="H254" s="25" t="s">
        <v>82</v>
      </c>
      <c r="I254" s="26" t="s">
        <v>38</v>
      </c>
      <c r="J254" s="32"/>
      <c r="K254" s="32"/>
      <c r="L254" s="32"/>
      <c r="M254" s="32" t="s">
        <v>857</v>
      </c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</row>
    <row r="255" customFormat="false" ht="45" hidden="false" customHeight="true" outlineLevel="0" collapsed="false">
      <c r="A255" s="76" t="s">
        <v>858</v>
      </c>
      <c r="B255" s="28" t="s">
        <v>853</v>
      </c>
      <c r="C255" s="29" t="s">
        <v>854</v>
      </c>
      <c r="D255" s="29" t="s">
        <v>859</v>
      </c>
      <c r="E255" s="30" t="s">
        <v>79</v>
      </c>
      <c r="F255" s="29" t="s">
        <v>80</v>
      </c>
      <c r="G255" s="29" t="s">
        <v>81</v>
      </c>
      <c r="H255" s="25" t="s">
        <v>82</v>
      </c>
      <c r="I255" s="26" t="s">
        <v>38</v>
      </c>
      <c r="J255" s="29"/>
      <c r="K255" s="29"/>
      <c r="L255" s="29"/>
      <c r="M255" s="29" t="s">
        <v>860</v>
      </c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customFormat="false" ht="45" hidden="false" customHeight="true" outlineLevel="0" collapsed="false">
      <c r="A256" s="76" t="s">
        <v>861</v>
      </c>
      <c r="B256" s="28" t="s">
        <v>853</v>
      </c>
      <c r="C256" s="29" t="s">
        <v>854</v>
      </c>
      <c r="D256" s="29" t="s">
        <v>862</v>
      </c>
      <c r="E256" s="30" t="s">
        <v>79</v>
      </c>
      <c r="F256" s="29" t="s">
        <v>80</v>
      </c>
      <c r="G256" s="29" t="s">
        <v>81</v>
      </c>
      <c r="H256" s="25" t="s">
        <v>89</v>
      </c>
      <c r="I256" s="26" t="s">
        <v>38</v>
      </c>
      <c r="J256" s="29"/>
      <c r="K256" s="29"/>
      <c r="L256" s="29"/>
      <c r="M256" s="29" t="s">
        <v>863</v>
      </c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customFormat="false" ht="45" hidden="false" customHeight="true" outlineLevel="0" collapsed="false">
      <c r="A257" s="75" t="s">
        <v>864</v>
      </c>
      <c r="B257" s="22" t="s">
        <v>853</v>
      </c>
      <c r="C257" s="23" t="s">
        <v>855</v>
      </c>
      <c r="D257" s="23" t="s">
        <v>865</v>
      </c>
      <c r="E257" s="62" t="s">
        <v>497</v>
      </c>
      <c r="F257" s="23" t="s">
        <v>80</v>
      </c>
      <c r="G257" s="23" t="s">
        <v>220</v>
      </c>
      <c r="H257" s="25" t="s">
        <v>82</v>
      </c>
      <c r="I257" s="26" t="s">
        <v>38</v>
      </c>
      <c r="J257" s="23"/>
      <c r="K257" s="23"/>
      <c r="L257" s="23"/>
      <c r="M257" s="23" t="s">
        <v>866</v>
      </c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customFormat="false" ht="45" hidden="false" customHeight="true" outlineLevel="0" collapsed="false">
      <c r="A258" s="76" t="s">
        <v>867</v>
      </c>
      <c r="B258" s="28" t="s">
        <v>853</v>
      </c>
      <c r="C258" s="29" t="s">
        <v>864</v>
      </c>
      <c r="D258" s="29" t="s">
        <v>868</v>
      </c>
      <c r="E258" s="63" t="s">
        <v>497</v>
      </c>
      <c r="F258" s="29" t="s">
        <v>80</v>
      </c>
      <c r="G258" s="29" t="s">
        <v>220</v>
      </c>
      <c r="H258" s="25" t="s">
        <v>82</v>
      </c>
      <c r="I258" s="26" t="s">
        <v>38</v>
      </c>
      <c r="J258" s="29"/>
      <c r="K258" s="29"/>
      <c r="L258" s="29"/>
      <c r="M258" s="29" t="s">
        <v>869</v>
      </c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customFormat="false" ht="45" hidden="false" customHeight="true" outlineLevel="0" collapsed="false">
      <c r="A259" s="76" t="s">
        <v>870</v>
      </c>
      <c r="B259" s="28" t="s">
        <v>853</v>
      </c>
      <c r="C259" s="29" t="s">
        <v>864</v>
      </c>
      <c r="D259" s="29" t="s">
        <v>871</v>
      </c>
      <c r="E259" s="63" t="s">
        <v>497</v>
      </c>
      <c r="F259" s="29" t="s">
        <v>80</v>
      </c>
      <c r="G259" s="29" t="s">
        <v>81</v>
      </c>
      <c r="H259" s="25" t="s">
        <v>89</v>
      </c>
      <c r="I259" s="26" t="s">
        <v>38</v>
      </c>
      <c r="J259" s="29"/>
      <c r="K259" s="29"/>
      <c r="L259" s="29"/>
      <c r="M259" s="29" t="s">
        <v>872</v>
      </c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customFormat="false" ht="45" hidden="false" customHeight="true" outlineLevel="0" collapsed="false">
      <c r="A260" s="75" t="s">
        <v>873</v>
      </c>
      <c r="B260" s="31" t="s">
        <v>853</v>
      </c>
      <c r="C260" s="32" t="s">
        <v>855</v>
      </c>
      <c r="D260" s="32" t="s">
        <v>874</v>
      </c>
      <c r="E260" s="33" t="s">
        <v>93</v>
      </c>
      <c r="F260" s="32" t="s">
        <v>80</v>
      </c>
      <c r="G260" s="32" t="s">
        <v>220</v>
      </c>
      <c r="H260" s="25" t="s">
        <v>82</v>
      </c>
      <c r="I260" s="26" t="s">
        <v>38</v>
      </c>
      <c r="J260" s="32"/>
      <c r="K260" s="32"/>
      <c r="L260" s="32"/>
      <c r="M260" s="32" t="s">
        <v>875</v>
      </c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</row>
    <row r="261" customFormat="false" ht="45" hidden="false" customHeight="true" outlineLevel="0" collapsed="false">
      <c r="A261" s="76" t="s">
        <v>876</v>
      </c>
      <c r="B261" s="28" t="s">
        <v>853</v>
      </c>
      <c r="C261" s="29" t="s">
        <v>873</v>
      </c>
      <c r="D261" s="29" t="s">
        <v>877</v>
      </c>
      <c r="E261" s="34" t="s">
        <v>93</v>
      </c>
      <c r="F261" s="29" t="s">
        <v>80</v>
      </c>
      <c r="G261" s="29" t="s">
        <v>220</v>
      </c>
      <c r="H261" s="25" t="s">
        <v>82</v>
      </c>
      <c r="I261" s="26" t="s">
        <v>38</v>
      </c>
      <c r="J261" s="29"/>
      <c r="K261" s="29"/>
      <c r="L261" s="29"/>
      <c r="M261" s="29" t="s">
        <v>878</v>
      </c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customFormat="false" ht="45" hidden="false" customHeight="true" outlineLevel="0" collapsed="false">
      <c r="A262" s="76" t="s">
        <v>879</v>
      </c>
      <c r="B262" s="28" t="s">
        <v>853</v>
      </c>
      <c r="C262" s="29" t="s">
        <v>876</v>
      </c>
      <c r="D262" s="29" t="s">
        <v>880</v>
      </c>
      <c r="E262" s="34" t="s">
        <v>93</v>
      </c>
      <c r="F262" s="29" t="s">
        <v>80</v>
      </c>
      <c r="G262" s="29" t="s">
        <v>374</v>
      </c>
      <c r="H262" s="25" t="s">
        <v>89</v>
      </c>
      <c r="I262" s="26" t="s">
        <v>38</v>
      </c>
      <c r="J262" s="29"/>
      <c r="K262" s="29"/>
      <c r="L262" s="29"/>
      <c r="M262" s="29" t="s">
        <v>881</v>
      </c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customFormat="false" ht="45" hidden="false" customHeight="true" outlineLevel="0" collapsed="false">
      <c r="A263" s="76" t="s">
        <v>882</v>
      </c>
      <c r="B263" s="28" t="s">
        <v>853</v>
      </c>
      <c r="C263" s="29" t="s">
        <v>876</v>
      </c>
      <c r="D263" s="29" t="s">
        <v>883</v>
      </c>
      <c r="E263" s="34" t="s">
        <v>93</v>
      </c>
      <c r="F263" s="29" t="s">
        <v>80</v>
      </c>
      <c r="G263" s="29" t="s">
        <v>220</v>
      </c>
      <c r="H263" s="25" t="s">
        <v>82</v>
      </c>
      <c r="I263" s="26" t="s">
        <v>38</v>
      </c>
      <c r="J263" s="29"/>
      <c r="K263" s="29"/>
      <c r="L263" s="29"/>
      <c r="M263" s="29" t="s">
        <v>884</v>
      </c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customFormat="false" ht="45" hidden="false" customHeight="true" outlineLevel="0" collapsed="false">
      <c r="A264" s="76" t="s">
        <v>885</v>
      </c>
      <c r="B264" s="28" t="s">
        <v>853</v>
      </c>
      <c r="C264" s="29" t="s">
        <v>876</v>
      </c>
      <c r="D264" s="29" t="s">
        <v>886</v>
      </c>
      <c r="E264" s="34" t="s">
        <v>93</v>
      </c>
      <c r="F264" s="29" t="s">
        <v>80</v>
      </c>
      <c r="G264" s="29" t="s">
        <v>470</v>
      </c>
      <c r="H264" s="25" t="s">
        <v>82</v>
      </c>
      <c r="I264" s="26" t="s">
        <v>38</v>
      </c>
      <c r="J264" s="29"/>
      <c r="K264" s="29"/>
      <c r="L264" s="29"/>
      <c r="M264" s="29" t="s">
        <v>887</v>
      </c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customFormat="false" ht="45" hidden="false" customHeight="true" outlineLevel="0" collapsed="false">
      <c r="A265" s="76" t="s">
        <v>888</v>
      </c>
      <c r="B265" s="28" t="s">
        <v>853</v>
      </c>
      <c r="C265" s="29" t="s">
        <v>873</v>
      </c>
      <c r="D265" s="29" t="s">
        <v>889</v>
      </c>
      <c r="E265" s="34" t="s">
        <v>93</v>
      </c>
      <c r="F265" s="29" t="s">
        <v>80</v>
      </c>
      <c r="G265" s="29" t="s">
        <v>220</v>
      </c>
      <c r="H265" s="25" t="s">
        <v>82</v>
      </c>
      <c r="I265" s="26" t="s">
        <v>38</v>
      </c>
      <c r="J265" s="29"/>
      <c r="K265" s="29"/>
      <c r="L265" s="29"/>
      <c r="M265" s="29" t="s">
        <v>890</v>
      </c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customFormat="false" ht="45" hidden="false" customHeight="true" outlineLevel="0" collapsed="false">
      <c r="A266" s="76" t="s">
        <v>891</v>
      </c>
      <c r="B266" s="28" t="s">
        <v>853</v>
      </c>
      <c r="C266" s="29" t="s">
        <v>888</v>
      </c>
      <c r="D266" s="29" t="s">
        <v>892</v>
      </c>
      <c r="E266" s="34" t="s">
        <v>93</v>
      </c>
      <c r="F266" s="29" t="s">
        <v>80</v>
      </c>
      <c r="G266" s="29" t="s">
        <v>470</v>
      </c>
      <c r="H266" s="25" t="s">
        <v>82</v>
      </c>
      <c r="I266" s="26" t="s">
        <v>38</v>
      </c>
      <c r="J266" s="29"/>
      <c r="K266" s="29"/>
      <c r="L266" s="29"/>
      <c r="M266" s="29" t="s">
        <v>893</v>
      </c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customFormat="false" ht="45" hidden="false" customHeight="true" outlineLevel="0" collapsed="false">
      <c r="A267" s="75" t="s">
        <v>894</v>
      </c>
      <c r="B267" s="22" t="s">
        <v>853</v>
      </c>
      <c r="C267" s="23" t="s">
        <v>855</v>
      </c>
      <c r="D267" s="23" t="s">
        <v>895</v>
      </c>
      <c r="E267" s="36" t="s">
        <v>93</v>
      </c>
      <c r="F267" s="23" t="s">
        <v>80</v>
      </c>
      <c r="G267" s="23" t="s">
        <v>424</v>
      </c>
      <c r="H267" s="25" t="s">
        <v>82</v>
      </c>
      <c r="I267" s="26" t="s">
        <v>38</v>
      </c>
      <c r="J267" s="23"/>
      <c r="K267" s="23"/>
      <c r="L267" s="23"/>
      <c r="M267" s="23" t="s">
        <v>896</v>
      </c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customFormat="false" ht="45" hidden="false" customHeight="true" outlineLevel="0" collapsed="false">
      <c r="A268" s="76" t="s">
        <v>897</v>
      </c>
      <c r="B268" s="28" t="s">
        <v>853</v>
      </c>
      <c r="C268" s="29" t="s">
        <v>894</v>
      </c>
      <c r="D268" s="29" t="s">
        <v>898</v>
      </c>
      <c r="E268" s="34" t="s">
        <v>93</v>
      </c>
      <c r="F268" s="29" t="s">
        <v>80</v>
      </c>
      <c r="G268" s="29" t="s">
        <v>424</v>
      </c>
      <c r="H268" s="25" t="s">
        <v>82</v>
      </c>
      <c r="I268" s="26" t="s">
        <v>38</v>
      </c>
      <c r="J268" s="29"/>
      <c r="K268" s="29"/>
      <c r="L268" s="29"/>
      <c r="M268" s="29" t="s">
        <v>899</v>
      </c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customFormat="false" ht="45" hidden="false" customHeight="true" outlineLevel="0" collapsed="false">
      <c r="A269" s="76" t="s">
        <v>900</v>
      </c>
      <c r="B269" s="28" t="s">
        <v>853</v>
      </c>
      <c r="C269" s="29" t="s">
        <v>894</v>
      </c>
      <c r="D269" s="29" t="s">
        <v>901</v>
      </c>
      <c r="E269" s="34" t="s">
        <v>93</v>
      </c>
      <c r="F269" s="29" t="s">
        <v>80</v>
      </c>
      <c r="G269" s="29" t="s">
        <v>424</v>
      </c>
      <c r="H269" s="25" t="s">
        <v>82</v>
      </c>
      <c r="I269" s="26" t="s">
        <v>38</v>
      </c>
      <c r="J269" s="29"/>
      <c r="K269" s="29"/>
      <c r="L269" s="29"/>
      <c r="M269" s="29" t="s">
        <v>902</v>
      </c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customFormat="false" ht="45" hidden="false" customHeight="true" outlineLevel="0" collapsed="false">
      <c r="A270" s="76" t="s">
        <v>903</v>
      </c>
      <c r="B270" s="28" t="s">
        <v>853</v>
      </c>
      <c r="C270" s="29" t="s">
        <v>894</v>
      </c>
      <c r="D270" s="29" t="s">
        <v>904</v>
      </c>
      <c r="E270" s="34" t="s">
        <v>93</v>
      </c>
      <c r="F270" s="29" t="s">
        <v>80</v>
      </c>
      <c r="G270" s="29" t="s">
        <v>424</v>
      </c>
      <c r="H270" s="25" t="s">
        <v>82</v>
      </c>
      <c r="I270" s="26" t="s">
        <v>38</v>
      </c>
      <c r="J270" s="29"/>
      <c r="K270" s="29"/>
      <c r="L270" s="29"/>
      <c r="M270" s="29" t="s">
        <v>905</v>
      </c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customFormat="false" ht="45" hidden="false" customHeight="true" outlineLevel="0" collapsed="false">
      <c r="A271" s="76" t="s">
        <v>906</v>
      </c>
      <c r="B271" s="28" t="s">
        <v>853</v>
      </c>
      <c r="C271" s="29" t="s">
        <v>894</v>
      </c>
      <c r="D271" s="29" t="s">
        <v>907</v>
      </c>
      <c r="E271" s="34" t="s">
        <v>93</v>
      </c>
      <c r="F271" s="29" t="s">
        <v>80</v>
      </c>
      <c r="G271" s="29" t="s">
        <v>820</v>
      </c>
      <c r="H271" s="25" t="s">
        <v>82</v>
      </c>
      <c r="I271" s="26" t="s">
        <v>38</v>
      </c>
      <c r="J271" s="29"/>
      <c r="K271" s="29"/>
      <c r="L271" s="29"/>
      <c r="M271" s="29" t="s">
        <v>908</v>
      </c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customFormat="false" ht="45" hidden="false" customHeight="true" outlineLevel="0" collapsed="false">
      <c r="A272" s="76" t="s">
        <v>909</v>
      </c>
      <c r="B272" s="28" t="s">
        <v>853</v>
      </c>
      <c r="C272" s="29" t="s">
        <v>894</v>
      </c>
      <c r="D272" s="29" t="s">
        <v>910</v>
      </c>
      <c r="E272" s="34" t="s">
        <v>93</v>
      </c>
      <c r="F272" s="29" t="s">
        <v>80</v>
      </c>
      <c r="G272" s="29" t="s">
        <v>454</v>
      </c>
      <c r="H272" s="25" t="s">
        <v>82</v>
      </c>
      <c r="I272" s="26" t="s">
        <v>38</v>
      </c>
      <c r="J272" s="29"/>
      <c r="K272" s="29"/>
      <c r="L272" s="29"/>
      <c r="M272" s="29" t="s">
        <v>911</v>
      </c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customFormat="false" ht="45" hidden="false" customHeight="true" outlineLevel="0" collapsed="false">
      <c r="A273" s="76" t="s">
        <v>912</v>
      </c>
      <c r="B273" s="28" t="s">
        <v>853</v>
      </c>
      <c r="C273" s="29" t="s">
        <v>894</v>
      </c>
      <c r="D273" s="29" t="s">
        <v>913</v>
      </c>
      <c r="E273" s="34" t="s">
        <v>93</v>
      </c>
      <c r="F273" s="29" t="s">
        <v>278</v>
      </c>
      <c r="G273" s="29" t="s">
        <v>117</v>
      </c>
      <c r="H273" s="25" t="s">
        <v>82</v>
      </c>
      <c r="I273" s="26" t="s">
        <v>38</v>
      </c>
      <c r="J273" s="29"/>
      <c r="K273" s="29"/>
      <c r="L273" s="29"/>
      <c r="M273" s="29" t="s">
        <v>914</v>
      </c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customFormat="false" ht="45" hidden="false" customHeight="true" outlineLevel="0" collapsed="false">
      <c r="A274" s="76" t="s">
        <v>915</v>
      </c>
      <c r="B274" s="28" t="s">
        <v>853</v>
      </c>
      <c r="C274" s="29" t="s">
        <v>894</v>
      </c>
      <c r="D274" s="29" t="s">
        <v>916</v>
      </c>
      <c r="E274" s="34" t="s">
        <v>93</v>
      </c>
      <c r="F274" s="29" t="s">
        <v>917</v>
      </c>
      <c r="G274" s="29" t="s">
        <v>424</v>
      </c>
      <c r="H274" s="25" t="s">
        <v>82</v>
      </c>
      <c r="I274" s="26" t="s">
        <v>38</v>
      </c>
      <c r="J274" s="29"/>
      <c r="K274" s="29"/>
      <c r="L274" s="29"/>
      <c r="M274" s="29" t="s">
        <v>918</v>
      </c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customFormat="false" ht="45" hidden="false" customHeight="true" outlineLevel="0" collapsed="false">
      <c r="A275" s="75" t="s">
        <v>919</v>
      </c>
      <c r="B275" s="22" t="s">
        <v>853</v>
      </c>
      <c r="C275" s="23" t="s">
        <v>855</v>
      </c>
      <c r="D275" s="23" t="s">
        <v>920</v>
      </c>
      <c r="E275" s="36" t="s">
        <v>93</v>
      </c>
      <c r="F275" s="23" t="s">
        <v>80</v>
      </c>
      <c r="G275" s="23" t="s">
        <v>81</v>
      </c>
      <c r="H275" s="25" t="s">
        <v>82</v>
      </c>
      <c r="I275" s="26" t="s">
        <v>38</v>
      </c>
      <c r="J275" s="23"/>
      <c r="K275" s="23"/>
      <c r="L275" s="23"/>
      <c r="M275" s="23" t="s">
        <v>921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customFormat="false" ht="45" hidden="false" customHeight="true" outlineLevel="0" collapsed="false">
      <c r="A276" s="76" t="s">
        <v>922</v>
      </c>
      <c r="B276" s="28" t="s">
        <v>853</v>
      </c>
      <c r="C276" s="29" t="s">
        <v>919</v>
      </c>
      <c r="D276" s="29" t="s">
        <v>923</v>
      </c>
      <c r="E276" s="34" t="s">
        <v>93</v>
      </c>
      <c r="F276" s="29" t="s">
        <v>80</v>
      </c>
      <c r="G276" s="29" t="s">
        <v>81</v>
      </c>
      <c r="H276" s="25" t="s">
        <v>82</v>
      </c>
      <c r="I276" s="26" t="s">
        <v>38</v>
      </c>
      <c r="J276" s="29"/>
      <c r="K276" s="29"/>
      <c r="L276" s="29"/>
      <c r="M276" s="29" t="s">
        <v>924</v>
      </c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customFormat="false" ht="45" hidden="false" customHeight="true" outlineLevel="0" collapsed="false">
      <c r="A277" s="76" t="s">
        <v>925</v>
      </c>
      <c r="B277" s="28" t="s">
        <v>853</v>
      </c>
      <c r="C277" s="29" t="s">
        <v>922</v>
      </c>
      <c r="D277" s="29" t="s">
        <v>926</v>
      </c>
      <c r="E277" s="34" t="s">
        <v>93</v>
      </c>
      <c r="F277" s="29" t="s">
        <v>278</v>
      </c>
      <c r="G277" s="29" t="s">
        <v>81</v>
      </c>
      <c r="H277" s="25" t="s">
        <v>82</v>
      </c>
      <c r="I277" s="26" t="s">
        <v>38</v>
      </c>
      <c r="J277" s="29"/>
      <c r="K277" s="29"/>
      <c r="L277" s="29"/>
      <c r="M277" s="29" t="s">
        <v>927</v>
      </c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customFormat="false" ht="45" hidden="false" customHeight="true" outlineLevel="0" collapsed="false">
      <c r="A278" s="76" t="s">
        <v>928</v>
      </c>
      <c r="B278" s="28" t="s">
        <v>853</v>
      </c>
      <c r="C278" s="29" t="s">
        <v>919</v>
      </c>
      <c r="D278" s="29" t="s">
        <v>929</v>
      </c>
      <c r="E278" s="63" t="s">
        <v>497</v>
      </c>
      <c r="F278" s="29" t="s">
        <v>80</v>
      </c>
      <c r="G278" s="29" t="s">
        <v>930</v>
      </c>
      <c r="H278" s="25" t="s">
        <v>82</v>
      </c>
      <c r="I278" s="26" t="s">
        <v>38</v>
      </c>
      <c r="J278" s="29"/>
      <c r="K278" s="29"/>
      <c r="L278" s="29"/>
      <c r="M278" s="29" t="s">
        <v>931</v>
      </c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customFormat="false" ht="45" hidden="false" customHeight="true" outlineLevel="0" collapsed="false">
      <c r="A279" s="75" t="s">
        <v>932</v>
      </c>
      <c r="B279" s="22" t="s">
        <v>853</v>
      </c>
      <c r="C279" s="23" t="s">
        <v>855</v>
      </c>
      <c r="D279" s="23" t="s">
        <v>933</v>
      </c>
      <c r="E279" s="36" t="s">
        <v>93</v>
      </c>
      <c r="F279" s="23" t="s">
        <v>80</v>
      </c>
      <c r="G279" s="23" t="s">
        <v>934</v>
      </c>
      <c r="H279" s="25" t="s">
        <v>82</v>
      </c>
      <c r="I279" s="26" t="s">
        <v>38</v>
      </c>
      <c r="J279" s="23"/>
      <c r="K279" s="23"/>
      <c r="L279" s="23"/>
      <c r="M279" s="23" t="s">
        <v>935</v>
      </c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customFormat="false" ht="45" hidden="false" customHeight="true" outlineLevel="0" collapsed="false">
      <c r="A280" s="76" t="s">
        <v>936</v>
      </c>
      <c r="B280" s="28" t="s">
        <v>853</v>
      </c>
      <c r="C280" s="29" t="s">
        <v>932</v>
      </c>
      <c r="D280" s="29" t="s">
        <v>937</v>
      </c>
      <c r="E280" s="34" t="s">
        <v>93</v>
      </c>
      <c r="F280" s="29" t="s">
        <v>80</v>
      </c>
      <c r="G280" s="29" t="s">
        <v>934</v>
      </c>
      <c r="H280" s="25" t="s">
        <v>82</v>
      </c>
      <c r="I280" s="26" t="s">
        <v>38</v>
      </c>
      <c r="J280" s="29"/>
      <c r="K280" s="29"/>
      <c r="L280" s="29"/>
      <c r="M280" s="29" t="s">
        <v>938</v>
      </c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customFormat="false" ht="18" hidden="false" customHeight="true" outlineLevel="0" collapsed="false">
      <c r="A281" s="77" t="s">
        <v>939</v>
      </c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</row>
    <row r="282" customFormat="false" ht="45" hidden="false" customHeight="true" outlineLevel="0" collapsed="false">
      <c r="A282" s="78" t="s">
        <v>940</v>
      </c>
      <c r="B282" s="31" t="s">
        <v>939</v>
      </c>
      <c r="C282" s="32" t="s">
        <v>941</v>
      </c>
      <c r="D282" s="32" t="s">
        <v>942</v>
      </c>
      <c r="E282" s="39" t="s">
        <v>79</v>
      </c>
      <c r="F282" s="32" t="s">
        <v>80</v>
      </c>
      <c r="G282" s="32" t="s">
        <v>424</v>
      </c>
      <c r="H282" s="25" t="s">
        <v>82</v>
      </c>
      <c r="I282" s="26" t="s">
        <v>38</v>
      </c>
      <c r="J282" s="32"/>
      <c r="K282" s="32"/>
      <c r="L282" s="32"/>
      <c r="M282" s="32" t="s">
        <v>943</v>
      </c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</row>
    <row r="283" customFormat="false" ht="45" hidden="false" customHeight="true" outlineLevel="0" collapsed="false">
      <c r="A283" s="79" t="s">
        <v>944</v>
      </c>
      <c r="B283" s="28" t="s">
        <v>939</v>
      </c>
      <c r="C283" s="29" t="s">
        <v>940</v>
      </c>
      <c r="D283" s="29" t="s">
        <v>945</v>
      </c>
      <c r="E283" s="30" t="s">
        <v>79</v>
      </c>
      <c r="F283" s="29" t="s">
        <v>80</v>
      </c>
      <c r="G283" s="29" t="s">
        <v>424</v>
      </c>
      <c r="H283" s="25" t="s">
        <v>82</v>
      </c>
      <c r="I283" s="26" t="s">
        <v>38</v>
      </c>
      <c r="J283" s="29"/>
      <c r="K283" s="29"/>
      <c r="L283" s="29"/>
      <c r="M283" s="29" t="s">
        <v>946</v>
      </c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customFormat="false" ht="45" hidden="false" customHeight="true" outlineLevel="0" collapsed="false">
      <c r="A284" s="79" t="s">
        <v>947</v>
      </c>
      <c r="B284" s="28" t="s">
        <v>939</v>
      </c>
      <c r="C284" s="29" t="s">
        <v>940</v>
      </c>
      <c r="D284" s="29" t="s">
        <v>948</v>
      </c>
      <c r="E284" s="30" t="s">
        <v>79</v>
      </c>
      <c r="F284" s="29" t="s">
        <v>80</v>
      </c>
      <c r="G284" s="29" t="s">
        <v>424</v>
      </c>
      <c r="H284" s="25" t="s">
        <v>82</v>
      </c>
      <c r="I284" s="26" t="s">
        <v>38</v>
      </c>
      <c r="J284" s="29"/>
      <c r="K284" s="29"/>
      <c r="L284" s="29"/>
      <c r="M284" s="29" t="s">
        <v>949</v>
      </c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customFormat="false" ht="45" hidden="false" customHeight="true" outlineLevel="0" collapsed="false">
      <c r="A285" s="79" t="s">
        <v>950</v>
      </c>
      <c r="B285" s="28" t="s">
        <v>939</v>
      </c>
      <c r="C285" s="29" t="s">
        <v>940</v>
      </c>
      <c r="D285" s="29" t="s">
        <v>951</v>
      </c>
      <c r="E285" s="30" t="s">
        <v>79</v>
      </c>
      <c r="F285" s="29" t="s">
        <v>80</v>
      </c>
      <c r="G285" s="29" t="s">
        <v>424</v>
      </c>
      <c r="H285" s="25" t="s">
        <v>82</v>
      </c>
      <c r="I285" s="26" t="s">
        <v>38</v>
      </c>
      <c r="J285" s="29"/>
      <c r="K285" s="29"/>
      <c r="L285" s="29"/>
      <c r="M285" s="29" t="s">
        <v>952</v>
      </c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customFormat="false" ht="45" hidden="false" customHeight="true" outlineLevel="0" collapsed="false">
      <c r="A286" s="79" t="s">
        <v>953</v>
      </c>
      <c r="B286" s="28" t="s">
        <v>939</v>
      </c>
      <c r="C286" s="29" t="s">
        <v>940</v>
      </c>
      <c r="D286" s="29" t="s">
        <v>954</v>
      </c>
      <c r="E286" s="30" t="s">
        <v>79</v>
      </c>
      <c r="F286" s="29" t="s">
        <v>80</v>
      </c>
      <c r="G286" s="29" t="s">
        <v>81</v>
      </c>
      <c r="H286" s="25" t="s">
        <v>82</v>
      </c>
      <c r="I286" s="26" t="s">
        <v>38</v>
      </c>
      <c r="J286" s="29"/>
      <c r="K286" s="29"/>
      <c r="L286" s="29"/>
      <c r="M286" s="29" t="s">
        <v>955</v>
      </c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customFormat="false" ht="45" hidden="false" customHeight="true" outlineLevel="0" collapsed="false">
      <c r="A287" s="78" t="s">
        <v>956</v>
      </c>
      <c r="B287" s="22" t="s">
        <v>939</v>
      </c>
      <c r="C287" s="23" t="s">
        <v>941</v>
      </c>
      <c r="D287" s="23" t="s">
        <v>957</v>
      </c>
      <c r="E287" s="24" t="s">
        <v>79</v>
      </c>
      <c r="F287" s="23" t="s">
        <v>80</v>
      </c>
      <c r="G287" s="23" t="s">
        <v>81</v>
      </c>
      <c r="H287" s="25" t="s">
        <v>89</v>
      </c>
      <c r="I287" s="26" t="s">
        <v>38</v>
      </c>
      <c r="J287" s="23"/>
      <c r="K287" s="23"/>
      <c r="L287" s="23"/>
      <c r="M287" s="23" t="s">
        <v>958</v>
      </c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customFormat="false" ht="45" hidden="false" customHeight="true" outlineLevel="0" collapsed="false">
      <c r="A288" s="79" t="s">
        <v>959</v>
      </c>
      <c r="B288" s="28" t="s">
        <v>939</v>
      </c>
      <c r="C288" s="29" t="s">
        <v>956</v>
      </c>
      <c r="D288" s="29" t="s">
        <v>960</v>
      </c>
      <c r="E288" s="30" t="s">
        <v>79</v>
      </c>
      <c r="F288" s="29" t="s">
        <v>80</v>
      </c>
      <c r="G288" s="29" t="s">
        <v>424</v>
      </c>
      <c r="H288" s="25" t="s">
        <v>89</v>
      </c>
      <c r="I288" s="26" t="s">
        <v>38</v>
      </c>
      <c r="J288" s="29"/>
      <c r="K288" s="29"/>
      <c r="L288" s="29"/>
      <c r="M288" s="29" t="s">
        <v>961</v>
      </c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customFormat="false" ht="45" hidden="false" customHeight="true" outlineLevel="0" collapsed="false">
      <c r="A289" s="78" t="s">
        <v>962</v>
      </c>
      <c r="B289" s="22" t="s">
        <v>939</v>
      </c>
      <c r="C289" s="23" t="s">
        <v>941</v>
      </c>
      <c r="D289" s="23" t="s">
        <v>963</v>
      </c>
      <c r="E289" s="36" t="s">
        <v>93</v>
      </c>
      <c r="F289" s="23" t="s">
        <v>80</v>
      </c>
      <c r="G289" s="23" t="s">
        <v>424</v>
      </c>
      <c r="H289" s="25" t="s">
        <v>82</v>
      </c>
      <c r="I289" s="26" t="s">
        <v>38</v>
      </c>
      <c r="J289" s="23"/>
      <c r="K289" s="23"/>
      <c r="L289" s="23"/>
      <c r="M289" s="23" t="s">
        <v>964</v>
      </c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customFormat="false" ht="45" hidden="false" customHeight="true" outlineLevel="0" collapsed="false">
      <c r="A290" s="79" t="s">
        <v>965</v>
      </c>
      <c r="B290" s="28" t="s">
        <v>939</v>
      </c>
      <c r="C290" s="29" t="s">
        <v>962</v>
      </c>
      <c r="D290" s="29" t="s">
        <v>966</v>
      </c>
      <c r="E290" s="34" t="s">
        <v>93</v>
      </c>
      <c r="F290" s="29" t="s">
        <v>80</v>
      </c>
      <c r="G290" s="29" t="s">
        <v>424</v>
      </c>
      <c r="H290" s="25" t="s">
        <v>82</v>
      </c>
      <c r="I290" s="26" t="s">
        <v>38</v>
      </c>
      <c r="J290" s="29"/>
      <c r="K290" s="29"/>
      <c r="L290" s="29"/>
      <c r="M290" s="29" t="s">
        <v>967</v>
      </c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customFormat="false" ht="45" hidden="false" customHeight="true" outlineLevel="0" collapsed="false">
      <c r="A291" s="79" t="s">
        <v>968</v>
      </c>
      <c r="B291" s="28" t="s">
        <v>939</v>
      </c>
      <c r="C291" s="29" t="s">
        <v>962</v>
      </c>
      <c r="D291" s="29" t="s">
        <v>969</v>
      </c>
      <c r="E291" s="34" t="s">
        <v>93</v>
      </c>
      <c r="F291" s="29" t="s">
        <v>970</v>
      </c>
      <c r="G291" s="29" t="s">
        <v>424</v>
      </c>
      <c r="H291" s="25" t="s">
        <v>82</v>
      </c>
      <c r="I291" s="26" t="s">
        <v>38</v>
      </c>
      <c r="J291" s="29"/>
      <c r="K291" s="29"/>
      <c r="L291" s="29"/>
      <c r="M291" s="29" t="s">
        <v>971</v>
      </c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customFormat="false" ht="45" hidden="false" customHeight="true" outlineLevel="0" collapsed="false">
      <c r="A292" s="79" t="s">
        <v>972</v>
      </c>
      <c r="B292" s="28" t="s">
        <v>939</v>
      </c>
      <c r="C292" s="29" t="s">
        <v>962</v>
      </c>
      <c r="D292" s="29" t="s">
        <v>973</v>
      </c>
      <c r="E292" s="30" t="s">
        <v>79</v>
      </c>
      <c r="F292" s="29" t="s">
        <v>80</v>
      </c>
      <c r="G292" s="29" t="s">
        <v>424</v>
      </c>
      <c r="H292" s="25" t="s">
        <v>82</v>
      </c>
      <c r="I292" s="26" t="s">
        <v>38</v>
      </c>
      <c r="J292" s="29"/>
      <c r="K292" s="29"/>
      <c r="L292" s="29"/>
      <c r="M292" s="29" t="s">
        <v>974</v>
      </c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customFormat="false" ht="45" hidden="false" customHeight="true" outlineLevel="0" collapsed="false">
      <c r="A293" s="79" t="s">
        <v>975</v>
      </c>
      <c r="B293" s="28" t="s">
        <v>939</v>
      </c>
      <c r="C293" s="29" t="s">
        <v>962</v>
      </c>
      <c r="D293" s="29" t="s">
        <v>976</v>
      </c>
      <c r="E293" s="30" t="s">
        <v>79</v>
      </c>
      <c r="F293" s="29" t="s">
        <v>80</v>
      </c>
      <c r="G293" s="29" t="s">
        <v>424</v>
      </c>
      <c r="H293" s="25" t="s">
        <v>82</v>
      </c>
      <c r="I293" s="26" t="s">
        <v>38</v>
      </c>
      <c r="J293" s="29"/>
      <c r="K293" s="29"/>
      <c r="L293" s="29"/>
      <c r="M293" s="29" t="s">
        <v>977</v>
      </c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customFormat="false" ht="45" hidden="false" customHeight="true" outlineLevel="0" collapsed="false">
      <c r="A294" s="78" t="s">
        <v>978</v>
      </c>
      <c r="B294" s="31" t="s">
        <v>939</v>
      </c>
      <c r="C294" s="32" t="s">
        <v>941</v>
      </c>
      <c r="D294" s="32" t="s">
        <v>979</v>
      </c>
      <c r="E294" s="39" t="s">
        <v>79</v>
      </c>
      <c r="F294" s="32" t="s">
        <v>80</v>
      </c>
      <c r="G294" s="32" t="s">
        <v>81</v>
      </c>
      <c r="H294" s="25" t="s">
        <v>82</v>
      </c>
      <c r="I294" s="26" t="s">
        <v>38</v>
      </c>
      <c r="J294" s="32"/>
      <c r="K294" s="32"/>
      <c r="L294" s="32"/>
      <c r="M294" s="32" t="s">
        <v>980</v>
      </c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</row>
    <row r="295" customFormat="false" ht="45" hidden="false" customHeight="true" outlineLevel="0" collapsed="false">
      <c r="A295" s="79" t="s">
        <v>981</v>
      </c>
      <c r="B295" s="28" t="s">
        <v>939</v>
      </c>
      <c r="C295" s="29" t="s">
        <v>978</v>
      </c>
      <c r="D295" s="29" t="s">
        <v>982</v>
      </c>
      <c r="E295" s="30" t="s">
        <v>79</v>
      </c>
      <c r="F295" s="29" t="s">
        <v>278</v>
      </c>
      <c r="G295" s="29" t="s">
        <v>81</v>
      </c>
      <c r="H295" s="25" t="s">
        <v>82</v>
      </c>
      <c r="I295" s="26" t="s">
        <v>38</v>
      </c>
      <c r="J295" s="29"/>
      <c r="K295" s="29"/>
      <c r="L295" s="29"/>
      <c r="M295" s="29" t="s">
        <v>983</v>
      </c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customFormat="false" ht="45" hidden="false" customHeight="true" outlineLevel="0" collapsed="false">
      <c r="A296" s="79" t="s">
        <v>984</v>
      </c>
      <c r="B296" s="28" t="s">
        <v>939</v>
      </c>
      <c r="C296" s="29" t="s">
        <v>978</v>
      </c>
      <c r="D296" s="29" t="s">
        <v>985</v>
      </c>
      <c r="E296" s="30" t="s">
        <v>79</v>
      </c>
      <c r="F296" s="29" t="s">
        <v>278</v>
      </c>
      <c r="G296" s="29" t="s">
        <v>220</v>
      </c>
      <c r="H296" s="25" t="s">
        <v>82</v>
      </c>
      <c r="I296" s="26" t="s">
        <v>38</v>
      </c>
      <c r="J296" s="29"/>
      <c r="K296" s="29"/>
      <c r="L296" s="29"/>
      <c r="M296" s="29" t="s">
        <v>986</v>
      </c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customFormat="false" ht="45" hidden="false" customHeight="true" outlineLevel="0" collapsed="false">
      <c r="A297" s="79" t="s">
        <v>987</v>
      </c>
      <c r="B297" s="28" t="s">
        <v>939</v>
      </c>
      <c r="C297" s="29" t="s">
        <v>984</v>
      </c>
      <c r="D297" s="29" t="s">
        <v>988</v>
      </c>
      <c r="E297" s="30" t="s">
        <v>79</v>
      </c>
      <c r="F297" s="29" t="s">
        <v>278</v>
      </c>
      <c r="G297" s="29" t="s">
        <v>220</v>
      </c>
      <c r="H297" s="25" t="s">
        <v>82</v>
      </c>
      <c r="I297" s="26" t="s">
        <v>38</v>
      </c>
      <c r="J297" s="29"/>
      <c r="K297" s="29"/>
      <c r="L297" s="29"/>
      <c r="M297" s="29" t="s">
        <v>989</v>
      </c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customFormat="false" ht="45" hidden="false" customHeight="true" outlineLevel="0" collapsed="false">
      <c r="A298" s="78" t="s">
        <v>990</v>
      </c>
      <c r="B298" s="31" t="s">
        <v>939</v>
      </c>
      <c r="C298" s="32" t="s">
        <v>941</v>
      </c>
      <c r="D298" s="32" t="s">
        <v>991</v>
      </c>
      <c r="E298" s="44" t="s">
        <v>104</v>
      </c>
      <c r="F298" s="32" t="s">
        <v>80</v>
      </c>
      <c r="G298" s="32" t="s">
        <v>424</v>
      </c>
      <c r="H298" s="25" t="s">
        <v>82</v>
      </c>
      <c r="I298" s="26" t="s">
        <v>38</v>
      </c>
      <c r="J298" s="32"/>
      <c r="K298" s="32"/>
      <c r="L298" s="32"/>
      <c r="M298" s="32" t="s">
        <v>992</v>
      </c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</row>
    <row r="299" customFormat="false" ht="45" hidden="false" customHeight="true" outlineLevel="0" collapsed="false">
      <c r="A299" s="79" t="s">
        <v>993</v>
      </c>
      <c r="B299" s="28" t="s">
        <v>939</v>
      </c>
      <c r="C299" s="29" t="s">
        <v>990</v>
      </c>
      <c r="D299" s="29" t="s">
        <v>994</v>
      </c>
      <c r="E299" s="34" t="s">
        <v>93</v>
      </c>
      <c r="F299" s="29" t="s">
        <v>80</v>
      </c>
      <c r="G299" s="29" t="s">
        <v>81</v>
      </c>
      <c r="H299" s="25" t="s">
        <v>82</v>
      </c>
      <c r="I299" s="26" t="s">
        <v>38</v>
      </c>
      <c r="J299" s="29"/>
      <c r="K299" s="29"/>
      <c r="L299" s="29"/>
      <c r="M299" s="29" t="s">
        <v>995</v>
      </c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customFormat="false" ht="45" hidden="false" customHeight="true" outlineLevel="0" collapsed="false">
      <c r="A300" s="79" t="s">
        <v>996</v>
      </c>
      <c r="B300" s="28" t="s">
        <v>939</v>
      </c>
      <c r="C300" s="29" t="s">
        <v>990</v>
      </c>
      <c r="D300" s="29" t="s">
        <v>997</v>
      </c>
      <c r="E300" s="35" t="s">
        <v>104</v>
      </c>
      <c r="F300" s="29" t="s">
        <v>80</v>
      </c>
      <c r="G300" s="29" t="s">
        <v>454</v>
      </c>
      <c r="H300" s="25" t="s">
        <v>82</v>
      </c>
      <c r="I300" s="26" t="s">
        <v>38</v>
      </c>
      <c r="J300" s="29"/>
      <c r="K300" s="29"/>
      <c r="L300" s="29"/>
      <c r="M300" s="29" t="s">
        <v>998</v>
      </c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customFormat="false" ht="45" hidden="false" customHeight="true" outlineLevel="0" collapsed="false">
      <c r="A301" s="79" t="s">
        <v>999</v>
      </c>
      <c r="B301" s="28" t="s">
        <v>939</v>
      </c>
      <c r="C301" s="29" t="s">
        <v>996</v>
      </c>
      <c r="D301" s="29" t="s">
        <v>1000</v>
      </c>
      <c r="E301" s="35" t="s">
        <v>104</v>
      </c>
      <c r="F301" s="29" t="s">
        <v>278</v>
      </c>
      <c r="G301" s="29" t="s">
        <v>117</v>
      </c>
      <c r="H301" s="25" t="s">
        <v>82</v>
      </c>
      <c r="I301" s="26" t="s">
        <v>38</v>
      </c>
      <c r="J301" s="29"/>
      <c r="K301" s="29"/>
      <c r="L301" s="29"/>
      <c r="M301" s="29" t="s">
        <v>1001</v>
      </c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customFormat="false" ht="45" hidden="false" customHeight="true" outlineLevel="0" collapsed="false">
      <c r="A302" s="79" t="s">
        <v>1002</v>
      </c>
      <c r="B302" s="28" t="s">
        <v>939</v>
      </c>
      <c r="C302" s="29" t="s">
        <v>990</v>
      </c>
      <c r="D302" s="29" t="s">
        <v>1003</v>
      </c>
      <c r="E302" s="30" t="s">
        <v>79</v>
      </c>
      <c r="F302" s="29" t="s">
        <v>278</v>
      </c>
      <c r="G302" s="29" t="s">
        <v>1004</v>
      </c>
      <c r="H302" s="25" t="s">
        <v>82</v>
      </c>
      <c r="I302" s="26" t="s">
        <v>38</v>
      </c>
      <c r="J302" s="29"/>
      <c r="K302" s="29"/>
      <c r="L302" s="29"/>
      <c r="M302" s="29" t="s">
        <v>1005</v>
      </c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customFormat="false" ht="45" hidden="false" customHeight="true" outlineLevel="0" collapsed="false">
      <c r="A303" s="78" t="s">
        <v>1006</v>
      </c>
      <c r="B303" s="22" t="s">
        <v>939</v>
      </c>
      <c r="C303" s="23" t="s">
        <v>941</v>
      </c>
      <c r="D303" s="23" t="s">
        <v>1007</v>
      </c>
      <c r="E303" s="24" t="s">
        <v>79</v>
      </c>
      <c r="F303" s="23" t="s">
        <v>80</v>
      </c>
      <c r="G303" s="23" t="s">
        <v>424</v>
      </c>
      <c r="H303" s="25" t="s">
        <v>82</v>
      </c>
      <c r="I303" s="26" t="s">
        <v>38</v>
      </c>
      <c r="J303" s="23"/>
      <c r="K303" s="23"/>
      <c r="L303" s="23"/>
      <c r="M303" s="23" t="s">
        <v>1008</v>
      </c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customFormat="false" ht="45" hidden="false" customHeight="true" outlineLevel="0" collapsed="false">
      <c r="A304" s="79" t="s">
        <v>1009</v>
      </c>
      <c r="B304" s="28" t="s">
        <v>939</v>
      </c>
      <c r="C304" s="29" t="s">
        <v>1006</v>
      </c>
      <c r="D304" s="29" t="s">
        <v>1010</v>
      </c>
      <c r="E304" s="30" t="s">
        <v>79</v>
      </c>
      <c r="F304" s="29" t="s">
        <v>80</v>
      </c>
      <c r="G304" s="29" t="s">
        <v>81</v>
      </c>
      <c r="H304" s="25" t="s">
        <v>82</v>
      </c>
      <c r="I304" s="26" t="s">
        <v>38</v>
      </c>
      <c r="J304" s="29"/>
      <c r="K304" s="29"/>
      <c r="L304" s="29"/>
      <c r="M304" s="29" t="s">
        <v>1011</v>
      </c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customFormat="false" ht="45" hidden="false" customHeight="true" outlineLevel="0" collapsed="false">
      <c r="A305" s="79" t="s">
        <v>1012</v>
      </c>
      <c r="B305" s="28" t="s">
        <v>939</v>
      </c>
      <c r="C305" s="29" t="s">
        <v>1006</v>
      </c>
      <c r="D305" s="29" t="s">
        <v>1013</v>
      </c>
      <c r="E305" s="30" t="s">
        <v>79</v>
      </c>
      <c r="F305" s="29" t="s">
        <v>80</v>
      </c>
      <c r="G305" s="29" t="s">
        <v>424</v>
      </c>
      <c r="H305" s="25" t="s">
        <v>82</v>
      </c>
      <c r="I305" s="26" t="s">
        <v>38</v>
      </c>
      <c r="J305" s="29"/>
      <c r="K305" s="29"/>
      <c r="L305" s="29"/>
      <c r="M305" s="29" t="s">
        <v>1014</v>
      </c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customFormat="false" ht="45" hidden="false" customHeight="true" outlineLevel="0" collapsed="false">
      <c r="A306" s="79" t="s">
        <v>1015</v>
      </c>
      <c r="B306" s="28" t="s">
        <v>939</v>
      </c>
      <c r="C306" s="29" t="s">
        <v>1006</v>
      </c>
      <c r="D306" s="29" t="s">
        <v>1016</v>
      </c>
      <c r="E306" s="30" t="s">
        <v>79</v>
      </c>
      <c r="F306" s="29" t="s">
        <v>80</v>
      </c>
      <c r="G306" s="29" t="s">
        <v>424</v>
      </c>
      <c r="H306" s="25" t="s">
        <v>82</v>
      </c>
      <c r="I306" s="26" t="s">
        <v>38</v>
      </c>
      <c r="J306" s="29"/>
      <c r="K306" s="29"/>
      <c r="L306" s="29"/>
      <c r="M306" s="29" t="s">
        <v>1017</v>
      </c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customFormat="false" ht="45" hidden="false" customHeight="true" outlineLevel="0" collapsed="false">
      <c r="A307" s="79" t="s">
        <v>1018</v>
      </c>
      <c r="B307" s="28" t="s">
        <v>939</v>
      </c>
      <c r="C307" s="29" t="s">
        <v>1015</v>
      </c>
      <c r="D307" s="29" t="s">
        <v>1019</v>
      </c>
      <c r="E307" s="30" t="s">
        <v>79</v>
      </c>
      <c r="F307" s="29" t="s">
        <v>80</v>
      </c>
      <c r="G307" s="29" t="s">
        <v>424</v>
      </c>
      <c r="H307" s="25" t="s">
        <v>82</v>
      </c>
      <c r="I307" s="26" t="s">
        <v>38</v>
      </c>
      <c r="J307" s="29"/>
      <c r="K307" s="29"/>
      <c r="L307" s="29"/>
      <c r="M307" s="29" t="s">
        <v>1020</v>
      </c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customFormat="false" ht="45" hidden="false" customHeight="true" outlineLevel="0" collapsed="false">
      <c r="A308" s="79" t="s">
        <v>1021</v>
      </c>
      <c r="B308" s="28" t="s">
        <v>939</v>
      </c>
      <c r="C308" s="29" t="s">
        <v>1015</v>
      </c>
      <c r="D308" s="29" t="s">
        <v>1022</v>
      </c>
      <c r="E308" s="30" t="s">
        <v>79</v>
      </c>
      <c r="F308" s="29" t="s">
        <v>80</v>
      </c>
      <c r="G308" s="29" t="s">
        <v>424</v>
      </c>
      <c r="H308" s="25" t="s">
        <v>89</v>
      </c>
      <c r="I308" s="26" t="s">
        <v>38</v>
      </c>
      <c r="J308" s="29"/>
      <c r="K308" s="29"/>
      <c r="L308" s="29"/>
      <c r="M308" s="29" t="s">
        <v>1023</v>
      </c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customFormat="false" ht="45" hidden="false" customHeight="true" outlineLevel="0" collapsed="false">
      <c r="A309" s="78" t="s">
        <v>1024</v>
      </c>
      <c r="B309" s="22" t="s">
        <v>939</v>
      </c>
      <c r="C309" s="23" t="s">
        <v>941</v>
      </c>
      <c r="D309" s="23" t="s">
        <v>1025</v>
      </c>
      <c r="E309" s="24" t="s">
        <v>79</v>
      </c>
      <c r="F309" s="23" t="s">
        <v>80</v>
      </c>
      <c r="G309" s="23" t="s">
        <v>1026</v>
      </c>
      <c r="H309" s="25" t="s">
        <v>82</v>
      </c>
      <c r="I309" s="26" t="s">
        <v>38</v>
      </c>
      <c r="J309" s="23"/>
      <c r="K309" s="23"/>
      <c r="L309" s="23"/>
      <c r="M309" s="23" t="s">
        <v>1027</v>
      </c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customFormat="false" ht="45" hidden="false" customHeight="true" outlineLevel="0" collapsed="false">
      <c r="A310" s="79" t="s">
        <v>1028</v>
      </c>
      <c r="B310" s="28" t="s">
        <v>939</v>
      </c>
      <c r="C310" s="29" t="s">
        <v>1024</v>
      </c>
      <c r="D310" s="29" t="s">
        <v>1029</v>
      </c>
      <c r="E310" s="30" t="s">
        <v>79</v>
      </c>
      <c r="F310" s="29" t="s">
        <v>80</v>
      </c>
      <c r="G310" s="29" t="s">
        <v>1026</v>
      </c>
      <c r="H310" s="25" t="s">
        <v>82</v>
      </c>
      <c r="I310" s="26" t="s">
        <v>38</v>
      </c>
      <c r="J310" s="29"/>
      <c r="K310" s="29"/>
      <c r="L310" s="29"/>
      <c r="M310" s="29" t="s">
        <v>1030</v>
      </c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customFormat="false" ht="45" hidden="false" customHeight="true" outlineLevel="0" collapsed="false">
      <c r="A311" s="78" t="s">
        <v>1031</v>
      </c>
      <c r="B311" s="22" t="s">
        <v>939</v>
      </c>
      <c r="C311" s="23" t="s">
        <v>941</v>
      </c>
      <c r="D311" s="23" t="s">
        <v>1032</v>
      </c>
      <c r="E311" s="36" t="s">
        <v>93</v>
      </c>
      <c r="F311" s="23" t="s">
        <v>80</v>
      </c>
      <c r="G311" s="23" t="s">
        <v>424</v>
      </c>
      <c r="H311" s="25" t="s">
        <v>82</v>
      </c>
      <c r="I311" s="26" t="s">
        <v>38</v>
      </c>
      <c r="J311" s="23"/>
      <c r="K311" s="23"/>
      <c r="L311" s="23"/>
      <c r="M311" s="23" t="s">
        <v>1033</v>
      </c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customFormat="false" ht="45" hidden="false" customHeight="true" outlineLevel="0" collapsed="false">
      <c r="A312" s="79" t="s">
        <v>1034</v>
      </c>
      <c r="B312" s="28" t="s">
        <v>939</v>
      </c>
      <c r="C312" s="29" t="s">
        <v>1031</v>
      </c>
      <c r="D312" s="29" t="s">
        <v>1035</v>
      </c>
      <c r="E312" s="34" t="s">
        <v>93</v>
      </c>
      <c r="F312" s="29" t="s">
        <v>80</v>
      </c>
      <c r="G312" s="29" t="s">
        <v>81</v>
      </c>
      <c r="H312" s="25" t="s">
        <v>82</v>
      </c>
      <c r="I312" s="26" t="s">
        <v>38</v>
      </c>
      <c r="J312" s="29"/>
      <c r="K312" s="29"/>
      <c r="L312" s="29"/>
      <c r="M312" s="29" t="s">
        <v>1036</v>
      </c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customFormat="false" ht="45" hidden="false" customHeight="true" outlineLevel="0" collapsed="false">
      <c r="A313" s="79" t="s">
        <v>1037</v>
      </c>
      <c r="B313" s="28" t="s">
        <v>939</v>
      </c>
      <c r="C313" s="29" t="s">
        <v>1031</v>
      </c>
      <c r="D313" s="29" t="s">
        <v>1038</v>
      </c>
      <c r="E313" s="34" t="s">
        <v>93</v>
      </c>
      <c r="F313" s="29" t="s">
        <v>80</v>
      </c>
      <c r="G313" s="29" t="s">
        <v>1039</v>
      </c>
      <c r="H313" s="25" t="s">
        <v>82</v>
      </c>
      <c r="I313" s="26" t="s">
        <v>38</v>
      </c>
      <c r="J313" s="29"/>
      <c r="K313" s="29"/>
      <c r="L313" s="29"/>
      <c r="M313" s="29" t="s">
        <v>1040</v>
      </c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customFormat="false" ht="45" hidden="false" customHeight="true" outlineLevel="0" collapsed="false">
      <c r="A314" s="79" t="s">
        <v>1041</v>
      </c>
      <c r="B314" s="28" t="s">
        <v>939</v>
      </c>
      <c r="C314" s="29" t="s">
        <v>1031</v>
      </c>
      <c r="D314" s="29" t="s">
        <v>1042</v>
      </c>
      <c r="E314" s="34" t="s">
        <v>93</v>
      </c>
      <c r="F314" s="29" t="s">
        <v>80</v>
      </c>
      <c r="G314" s="29" t="s">
        <v>1039</v>
      </c>
      <c r="H314" s="25" t="s">
        <v>82</v>
      </c>
      <c r="I314" s="26" t="s">
        <v>38</v>
      </c>
      <c r="J314" s="29"/>
      <c r="K314" s="29"/>
      <c r="L314" s="29"/>
      <c r="M314" s="29" t="s">
        <v>1043</v>
      </c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customFormat="false" ht="45" hidden="false" customHeight="true" outlineLevel="0" collapsed="false">
      <c r="A315" s="79" t="s">
        <v>1044</v>
      </c>
      <c r="B315" s="28" t="s">
        <v>939</v>
      </c>
      <c r="C315" s="29" t="s">
        <v>1031</v>
      </c>
      <c r="D315" s="29" t="s">
        <v>1045</v>
      </c>
      <c r="E315" s="34" t="s">
        <v>93</v>
      </c>
      <c r="F315" s="29" t="s">
        <v>80</v>
      </c>
      <c r="G315" s="29" t="s">
        <v>424</v>
      </c>
      <c r="H315" s="25" t="s">
        <v>82</v>
      </c>
      <c r="I315" s="26" t="s">
        <v>38</v>
      </c>
      <c r="J315" s="29"/>
      <c r="K315" s="29"/>
      <c r="L315" s="29"/>
      <c r="M315" s="29" t="s">
        <v>1046</v>
      </c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customFormat="false" ht="45" hidden="false" customHeight="true" outlineLevel="0" collapsed="false">
      <c r="A316" s="79" t="s">
        <v>1047</v>
      </c>
      <c r="B316" s="28" t="s">
        <v>939</v>
      </c>
      <c r="C316" s="29" t="s">
        <v>1031</v>
      </c>
      <c r="D316" s="29" t="s">
        <v>1048</v>
      </c>
      <c r="E316" s="34" t="s">
        <v>93</v>
      </c>
      <c r="F316" s="29" t="s">
        <v>80</v>
      </c>
      <c r="G316" s="29" t="s">
        <v>81</v>
      </c>
      <c r="H316" s="25" t="s">
        <v>82</v>
      </c>
      <c r="I316" s="26" t="s">
        <v>38</v>
      </c>
      <c r="J316" s="29"/>
      <c r="K316" s="29"/>
      <c r="L316" s="29"/>
      <c r="M316" s="29" t="s">
        <v>1049</v>
      </c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customFormat="false" ht="45" hidden="false" customHeight="true" outlineLevel="0" collapsed="false">
      <c r="A317" s="78" t="s">
        <v>1050</v>
      </c>
      <c r="B317" s="22" t="s">
        <v>939</v>
      </c>
      <c r="C317" s="23" t="s">
        <v>941</v>
      </c>
      <c r="D317" s="23" t="s">
        <v>1051</v>
      </c>
      <c r="E317" s="36" t="s">
        <v>93</v>
      </c>
      <c r="F317" s="23" t="s">
        <v>278</v>
      </c>
      <c r="G317" s="23" t="s">
        <v>81</v>
      </c>
      <c r="H317" s="25" t="s">
        <v>82</v>
      </c>
      <c r="I317" s="26" t="s">
        <v>38</v>
      </c>
      <c r="J317" s="23"/>
      <c r="K317" s="23"/>
      <c r="L317" s="23"/>
      <c r="M317" s="23" t="s">
        <v>1052</v>
      </c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customFormat="false" ht="45" hidden="false" customHeight="true" outlineLevel="0" collapsed="false">
      <c r="A318" s="79" t="s">
        <v>1053</v>
      </c>
      <c r="B318" s="28" t="s">
        <v>939</v>
      </c>
      <c r="C318" s="29" t="s">
        <v>1050</v>
      </c>
      <c r="D318" s="29" t="s">
        <v>1054</v>
      </c>
      <c r="E318" s="34" t="s">
        <v>93</v>
      </c>
      <c r="F318" s="29" t="s">
        <v>278</v>
      </c>
      <c r="G318" s="29" t="s">
        <v>1055</v>
      </c>
      <c r="H318" s="25" t="s">
        <v>82</v>
      </c>
      <c r="I318" s="26" t="s">
        <v>38</v>
      </c>
      <c r="J318" s="29"/>
      <c r="K318" s="29"/>
      <c r="L318" s="29"/>
      <c r="M318" s="29" t="s">
        <v>1056</v>
      </c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customFormat="false" ht="45" hidden="false" customHeight="true" outlineLevel="0" collapsed="false">
      <c r="A319" s="78" t="s">
        <v>1057</v>
      </c>
      <c r="B319" s="22" t="s">
        <v>939</v>
      </c>
      <c r="C319" s="23" t="s">
        <v>941</v>
      </c>
      <c r="D319" s="23" t="s">
        <v>1058</v>
      </c>
      <c r="E319" s="36" t="s">
        <v>93</v>
      </c>
      <c r="F319" s="23" t="s">
        <v>80</v>
      </c>
      <c r="G319" s="23" t="s">
        <v>851</v>
      </c>
      <c r="H319" s="25" t="s">
        <v>224</v>
      </c>
      <c r="I319" s="26" t="s">
        <v>38</v>
      </c>
      <c r="J319" s="23"/>
      <c r="K319" s="23"/>
      <c r="L319" s="23"/>
      <c r="M319" s="23" t="s">
        <v>1059</v>
      </c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customFormat="false" ht="45" hidden="false" customHeight="true" outlineLevel="0" collapsed="false">
      <c r="A320" s="79" t="s">
        <v>1060</v>
      </c>
      <c r="B320" s="28" t="s">
        <v>939</v>
      </c>
      <c r="C320" s="29" t="s">
        <v>1057</v>
      </c>
      <c r="D320" s="29" t="s">
        <v>1061</v>
      </c>
      <c r="E320" s="34" t="s">
        <v>93</v>
      </c>
      <c r="F320" s="29" t="s">
        <v>80</v>
      </c>
      <c r="G320" s="29" t="s">
        <v>424</v>
      </c>
      <c r="H320" s="25" t="s">
        <v>224</v>
      </c>
      <c r="I320" s="26" t="s">
        <v>38</v>
      </c>
      <c r="J320" s="29"/>
      <c r="K320" s="29"/>
      <c r="L320" s="29"/>
      <c r="M320" s="29" t="s">
        <v>1062</v>
      </c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customFormat="false" ht="45" hidden="false" customHeight="true" outlineLevel="0" collapsed="false">
      <c r="A321" s="79" t="s">
        <v>1063</v>
      </c>
      <c r="B321" s="28" t="s">
        <v>939</v>
      </c>
      <c r="C321" s="29" t="s">
        <v>1057</v>
      </c>
      <c r="D321" s="29" t="s">
        <v>1064</v>
      </c>
      <c r="E321" s="34" t="s">
        <v>93</v>
      </c>
      <c r="F321" s="29" t="s">
        <v>80</v>
      </c>
      <c r="G321" s="29" t="s">
        <v>424</v>
      </c>
      <c r="H321" s="25" t="s">
        <v>82</v>
      </c>
      <c r="I321" s="26" t="s">
        <v>38</v>
      </c>
      <c r="J321" s="29"/>
      <c r="K321" s="29"/>
      <c r="L321" s="29"/>
      <c r="M321" s="29" t="s">
        <v>1065</v>
      </c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customFormat="false" ht="45" hidden="false" customHeight="true" outlineLevel="0" collapsed="false">
      <c r="A322" s="79" t="s">
        <v>1066</v>
      </c>
      <c r="B322" s="28" t="s">
        <v>939</v>
      </c>
      <c r="C322" s="29" t="s">
        <v>1057</v>
      </c>
      <c r="D322" s="29" t="s">
        <v>1067</v>
      </c>
      <c r="E322" s="34" t="s">
        <v>93</v>
      </c>
      <c r="F322" s="29" t="s">
        <v>80</v>
      </c>
      <c r="G322" s="29" t="s">
        <v>81</v>
      </c>
      <c r="H322" s="25" t="s">
        <v>82</v>
      </c>
      <c r="I322" s="26" t="s">
        <v>38</v>
      </c>
      <c r="J322" s="29"/>
      <c r="K322" s="29"/>
      <c r="L322" s="29"/>
      <c r="M322" s="29" t="s">
        <v>1068</v>
      </c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customFormat="false" ht="45" hidden="false" customHeight="true" outlineLevel="0" collapsed="false">
      <c r="A323" s="79" t="s">
        <v>1069</v>
      </c>
      <c r="B323" s="28" t="s">
        <v>939</v>
      </c>
      <c r="C323" s="29" t="s">
        <v>1057</v>
      </c>
      <c r="D323" s="29" t="s">
        <v>1070</v>
      </c>
      <c r="E323" s="34" t="s">
        <v>93</v>
      </c>
      <c r="F323" s="29" t="s">
        <v>80</v>
      </c>
      <c r="G323" s="29" t="s">
        <v>424</v>
      </c>
      <c r="H323" s="25" t="s">
        <v>82</v>
      </c>
      <c r="I323" s="26" t="s">
        <v>38</v>
      </c>
      <c r="J323" s="29"/>
      <c r="K323" s="29"/>
      <c r="L323" s="29"/>
      <c r="M323" s="29" t="s">
        <v>1071</v>
      </c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customFormat="false" ht="45" hidden="false" customHeight="true" outlineLevel="0" collapsed="false">
      <c r="A324" s="79" t="s">
        <v>1072</v>
      </c>
      <c r="B324" s="28" t="s">
        <v>939</v>
      </c>
      <c r="C324" s="29" t="s">
        <v>1069</v>
      </c>
      <c r="D324" s="29" t="s">
        <v>1073</v>
      </c>
      <c r="E324" s="34" t="s">
        <v>93</v>
      </c>
      <c r="F324" s="29" t="s">
        <v>80</v>
      </c>
      <c r="G324" s="29" t="s">
        <v>374</v>
      </c>
      <c r="H324" s="25" t="s">
        <v>89</v>
      </c>
      <c r="I324" s="26" t="s">
        <v>38</v>
      </c>
      <c r="J324" s="29"/>
      <c r="K324" s="29"/>
      <c r="L324" s="29"/>
      <c r="M324" s="29" t="s">
        <v>1074</v>
      </c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customFormat="false" ht="45" hidden="false" customHeight="true" outlineLevel="0" collapsed="false">
      <c r="A325" s="79" t="s">
        <v>1075</v>
      </c>
      <c r="B325" s="28" t="s">
        <v>939</v>
      </c>
      <c r="C325" s="29" t="s">
        <v>1057</v>
      </c>
      <c r="D325" s="29" t="s">
        <v>1076</v>
      </c>
      <c r="E325" s="34" t="s">
        <v>93</v>
      </c>
      <c r="F325" s="29" t="s">
        <v>80</v>
      </c>
      <c r="G325" s="29" t="s">
        <v>851</v>
      </c>
      <c r="H325" s="25" t="s">
        <v>82</v>
      </c>
      <c r="I325" s="26" t="s">
        <v>38</v>
      </c>
      <c r="J325" s="29"/>
      <c r="K325" s="29"/>
      <c r="L325" s="29"/>
      <c r="M325" s="29" t="s">
        <v>1077</v>
      </c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customFormat="false" ht="45" hidden="false" customHeight="true" outlineLevel="0" collapsed="false">
      <c r="A326" s="79" t="s">
        <v>1078</v>
      </c>
      <c r="B326" s="28" t="s">
        <v>939</v>
      </c>
      <c r="C326" s="29" t="s">
        <v>1057</v>
      </c>
      <c r="D326" s="29" t="s">
        <v>1079</v>
      </c>
      <c r="E326" s="34" t="s">
        <v>93</v>
      </c>
      <c r="F326" s="29" t="s">
        <v>80</v>
      </c>
      <c r="G326" s="29" t="s">
        <v>424</v>
      </c>
      <c r="H326" s="25" t="s">
        <v>89</v>
      </c>
      <c r="I326" s="26" t="s">
        <v>38</v>
      </c>
      <c r="J326" s="29"/>
      <c r="K326" s="29"/>
      <c r="L326" s="29"/>
      <c r="M326" s="29" t="s">
        <v>1080</v>
      </c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customFormat="false" ht="45" hidden="false" customHeight="true" outlineLevel="0" collapsed="false">
      <c r="A327" s="79" t="s">
        <v>1081</v>
      </c>
      <c r="B327" s="28" t="s">
        <v>939</v>
      </c>
      <c r="C327" s="29" t="s">
        <v>1057</v>
      </c>
      <c r="D327" s="29" t="s">
        <v>1082</v>
      </c>
      <c r="E327" s="34" t="s">
        <v>93</v>
      </c>
      <c r="F327" s="29" t="s">
        <v>80</v>
      </c>
      <c r="G327" s="29" t="s">
        <v>820</v>
      </c>
      <c r="H327" s="25" t="s">
        <v>82</v>
      </c>
      <c r="I327" s="26" t="s">
        <v>38</v>
      </c>
      <c r="J327" s="29"/>
      <c r="K327" s="29"/>
      <c r="L327" s="29"/>
      <c r="M327" s="29" t="s">
        <v>1083</v>
      </c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</sheetData>
  <mergeCells count="13">
    <mergeCell ref="A1:Y2"/>
    <mergeCell ref="A4:Y4"/>
    <mergeCell ref="A29:Y29"/>
    <mergeCell ref="A44:Y44"/>
    <mergeCell ref="A81:Y81"/>
    <mergeCell ref="A90:Y90"/>
    <mergeCell ref="A108:Y108"/>
    <mergeCell ref="A133:Y133"/>
    <mergeCell ref="A149:Y149"/>
    <mergeCell ref="A185:Y185"/>
    <mergeCell ref="A218:Y218"/>
    <mergeCell ref="A253:Y253"/>
    <mergeCell ref="A281:Y281"/>
  </mergeCells>
  <conditionalFormatting sqref="I4:I328">
    <cfRule type="expression" priority="2" aboveAverage="0" equalAverage="0" bottom="0" percent="0" rank="0" text="" dxfId="0">
      <formula>I4="COMPLIANT"</formula>
    </cfRule>
    <cfRule type="expression" priority="3" aboveAverage="0" equalAverage="0" bottom="0" percent="0" rank="0" text="" dxfId="1">
      <formula>I4="NON-COMPLIANT"</formula>
    </cfRule>
    <cfRule type="expression" priority="4" aboveAverage="0" equalAverage="0" bottom="0" percent="0" rank="0" text="" dxfId="2">
      <formula>I4="IN PROGRESS"</formula>
    </cfRule>
  </conditionalFormatting>
  <dataValidations count="1">
    <dataValidation allowBlank="true" errorStyle="stop" operator="between" showDropDown="false" showErrorMessage="false" showInputMessage="false" sqref="I5:I28 I30:I43 I45:I80 I82:I89 I91:I107 I109:I132 I134:I148 I150:I184 I186:I217 I219:I252 I254:I280 I282:I327" type="list">
      <formula1>"COMPLIANT,NON-COMPLIANT,IN PROGRESS,NOT APPLICABLE,NOT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10" min="9" style="0" width="14"/>
    <col collapsed="false" customWidth="true" hidden="false" outlineLevel="0" max="11" min="11" style="0" width="35"/>
  </cols>
  <sheetData>
    <row r="1" customFormat="false" ht="12" hidden="false" customHeight="true" outlineLevel="0" collapsed="false">
      <c r="B1" s="18" t="s">
        <v>1084</v>
      </c>
      <c r="C1" s="18"/>
      <c r="D1" s="18"/>
      <c r="E1" s="18"/>
      <c r="F1" s="18"/>
      <c r="G1" s="18"/>
      <c r="H1" s="18"/>
      <c r="I1" s="18"/>
      <c r="J1" s="18"/>
      <c r="K1" s="18"/>
    </row>
    <row r="2" customFormat="false" ht="12" hidden="false" customHeight="true" outlineLevel="0" collapsed="false">
      <c r="B2" s="18"/>
      <c r="C2" s="18"/>
      <c r="D2" s="18"/>
      <c r="E2" s="18"/>
      <c r="F2" s="18"/>
      <c r="G2" s="18"/>
      <c r="H2" s="18"/>
      <c r="I2" s="18"/>
      <c r="J2" s="18"/>
      <c r="K2" s="18"/>
    </row>
    <row r="3" customFormat="false" ht="19.5" hidden="false" customHeight="true" outlineLevel="0" collapsed="false">
      <c r="A3" s="80" t="s">
        <v>1085</v>
      </c>
      <c r="C3" s="81" t="s">
        <v>1086</v>
      </c>
      <c r="E3" s="82" t="s">
        <v>1087</v>
      </c>
      <c r="G3" s="83" t="s">
        <v>1088</v>
      </c>
      <c r="I3" s="84" t="s">
        <v>1089</v>
      </c>
      <c r="K3" s="85" t="s">
        <v>1090</v>
      </c>
    </row>
    <row r="4" customFormat="false" ht="27.75" hidden="false" customHeight="true" outlineLevel="0" collapsed="false"/>
    <row r="5" customFormat="false" ht="18" hidden="false" customHeight="true" outlineLevel="0" collapsed="false">
      <c r="A5" s="19" t="s">
        <v>50</v>
      </c>
      <c r="B5" s="19" t="s">
        <v>1091</v>
      </c>
      <c r="C5" s="19" t="s">
        <v>54</v>
      </c>
      <c r="D5" s="19" t="s">
        <v>1092</v>
      </c>
      <c r="E5" s="19" t="s">
        <v>51</v>
      </c>
      <c r="F5" s="19" t="s">
        <v>57</v>
      </c>
      <c r="G5" s="19" t="s">
        <v>1093</v>
      </c>
      <c r="H5" s="19" t="s">
        <v>59</v>
      </c>
      <c r="I5" s="19" t="s">
        <v>1094</v>
      </c>
      <c r="J5" s="19" t="s">
        <v>1095</v>
      </c>
      <c r="K5" s="19" t="s">
        <v>74</v>
      </c>
    </row>
    <row r="6" customFormat="false" ht="45" hidden="false" customHeight="true" outlineLevel="0" collapsed="false">
      <c r="A6" s="86" t="s">
        <v>1096</v>
      </c>
      <c r="B6" s="87"/>
      <c r="C6" s="87"/>
      <c r="D6" s="87"/>
      <c r="E6" s="87"/>
      <c r="F6" s="87"/>
      <c r="G6" s="87"/>
      <c r="H6" s="87"/>
      <c r="I6" s="87"/>
      <c r="J6" s="87"/>
      <c r="K6" s="88"/>
    </row>
    <row r="7" customFormat="false" ht="45" hidden="false" customHeight="true" outlineLevel="0" collapsed="false">
      <c r="A7" s="55" t="s">
        <v>76</v>
      </c>
      <c r="B7" s="32" t="s">
        <v>78</v>
      </c>
      <c r="C7" s="39" t="s">
        <v>79</v>
      </c>
      <c r="D7" s="32" t="s">
        <v>1097</v>
      </c>
      <c r="E7" s="32" t="s">
        <v>75</v>
      </c>
      <c r="F7" s="25" t="s">
        <v>82</v>
      </c>
      <c r="G7" s="26" t="s">
        <v>38</v>
      </c>
      <c r="H7" s="32"/>
      <c r="I7" s="32"/>
      <c r="J7" s="32"/>
      <c r="K7" s="32"/>
    </row>
    <row r="8" customFormat="false" ht="45" hidden="false" customHeight="true" outlineLevel="0" collapsed="false">
      <c r="A8" s="55" t="s">
        <v>84</v>
      </c>
      <c r="B8" s="23" t="s">
        <v>85</v>
      </c>
      <c r="C8" s="24" t="s">
        <v>79</v>
      </c>
      <c r="D8" s="23" t="s">
        <v>1097</v>
      </c>
      <c r="E8" s="23" t="s">
        <v>75</v>
      </c>
      <c r="F8" s="25" t="s">
        <v>82</v>
      </c>
      <c r="G8" s="26" t="s">
        <v>38</v>
      </c>
      <c r="H8" s="23"/>
      <c r="I8" s="23"/>
      <c r="J8" s="23"/>
      <c r="K8" s="23"/>
    </row>
    <row r="9" customFormat="false" ht="18" hidden="false" customHeight="true" outlineLevel="0" collapsed="false">
      <c r="A9" s="55" t="s">
        <v>87</v>
      </c>
      <c r="B9" s="55" t="s">
        <v>88</v>
      </c>
      <c r="C9" s="55" t="s">
        <v>79</v>
      </c>
      <c r="D9" s="55" t="s">
        <v>1097</v>
      </c>
      <c r="E9" s="55" t="s">
        <v>75</v>
      </c>
      <c r="F9" s="55" t="s">
        <v>89</v>
      </c>
      <c r="G9" s="55" t="s">
        <v>38</v>
      </c>
      <c r="H9" s="55"/>
      <c r="I9" s="55"/>
      <c r="J9" s="55"/>
      <c r="K9" s="55"/>
    </row>
    <row r="10" customFormat="false" ht="45" hidden="false" customHeight="true" outlineLevel="0" collapsed="false">
      <c r="A10" s="89" t="s">
        <v>1098</v>
      </c>
      <c r="B10" s="90"/>
      <c r="C10" s="90"/>
      <c r="D10" s="90"/>
      <c r="E10" s="90"/>
      <c r="F10" s="90"/>
      <c r="G10" s="90"/>
      <c r="H10" s="90"/>
      <c r="I10" s="90"/>
      <c r="J10" s="90"/>
      <c r="K10" s="91"/>
    </row>
    <row r="11" customFormat="false" ht="45" hidden="false" customHeight="true" outlineLevel="0" collapsed="false">
      <c r="A11" s="92" t="s">
        <v>91</v>
      </c>
      <c r="B11" s="32" t="s">
        <v>92</v>
      </c>
      <c r="C11" s="33" t="s">
        <v>93</v>
      </c>
      <c r="D11" s="32" t="s">
        <v>1099</v>
      </c>
      <c r="E11" s="32" t="s">
        <v>75</v>
      </c>
      <c r="F11" s="25" t="s">
        <v>82</v>
      </c>
      <c r="G11" s="26" t="s">
        <v>38</v>
      </c>
      <c r="H11" s="32"/>
      <c r="I11" s="32"/>
      <c r="J11" s="32"/>
      <c r="K11" s="32"/>
    </row>
    <row r="12" customFormat="false" ht="18" hidden="false" customHeight="true" outlineLevel="0" collapsed="false">
      <c r="A12" s="92" t="s">
        <v>95</v>
      </c>
      <c r="B12" s="92" t="s">
        <v>96</v>
      </c>
      <c r="C12" s="92" t="s">
        <v>93</v>
      </c>
      <c r="D12" s="92" t="s">
        <v>1099</v>
      </c>
      <c r="E12" s="92" t="s">
        <v>75</v>
      </c>
      <c r="F12" s="92" t="s">
        <v>82</v>
      </c>
      <c r="G12" s="92" t="s">
        <v>38</v>
      </c>
      <c r="H12" s="92"/>
      <c r="I12" s="92"/>
      <c r="J12" s="92"/>
      <c r="K12" s="92"/>
    </row>
    <row r="13" customFormat="false" ht="45" hidden="false" customHeight="true" outlineLevel="0" collapsed="false">
      <c r="A13" s="86" t="s">
        <v>1096</v>
      </c>
      <c r="B13" s="87"/>
      <c r="C13" s="87"/>
      <c r="D13" s="87"/>
      <c r="E13" s="87"/>
      <c r="F13" s="87"/>
      <c r="G13" s="87"/>
      <c r="H13" s="87"/>
      <c r="I13" s="87"/>
      <c r="J13" s="87"/>
      <c r="K13" s="88"/>
    </row>
    <row r="14" customFormat="false" ht="18" hidden="false" customHeight="true" outlineLevel="0" collapsed="false">
      <c r="A14" s="55" t="s">
        <v>98</v>
      </c>
      <c r="B14" s="55" t="s">
        <v>99</v>
      </c>
      <c r="C14" s="55" t="s">
        <v>79</v>
      </c>
      <c r="D14" s="55" t="s">
        <v>1097</v>
      </c>
      <c r="E14" s="55" t="s">
        <v>75</v>
      </c>
      <c r="F14" s="55" t="s">
        <v>82</v>
      </c>
      <c r="G14" s="55" t="s">
        <v>38</v>
      </c>
      <c r="H14" s="55"/>
      <c r="I14" s="55"/>
      <c r="J14" s="55"/>
      <c r="K14" s="55"/>
    </row>
    <row r="15" customFormat="false" ht="45" hidden="false" customHeight="true" outlineLevel="0" collapsed="false">
      <c r="A15" s="93" t="s">
        <v>1100</v>
      </c>
      <c r="B15" s="94"/>
      <c r="C15" s="94"/>
      <c r="D15" s="94"/>
      <c r="E15" s="94"/>
      <c r="F15" s="94"/>
      <c r="G15" s="94"/>
      <c r="H15" s="94"/>
      <c r="I15" s="94"/>
      <c r="J15" s="94"/>
      <c r="K15" s="95"/>
    </row>
    <row r="16" customFormat="false" ht="45" hidden="false" customHeight="true" outlineLevel="0" collapsed="false">
      <c r="A16" s="49" t="s">
        <v>102</v>
      </c>
      <c r="B16" s="23" t="s">
        <v>103</v>
      </c>
      <c r="C16" s="96" t="s">
        <v>104</v>
      </c>
      <c r="D16" s="23" t="s">
        <v>1101</v>
      </c>
      <c r="E16" s="23" t="s">
        <v>75</v>
      </c>
      <c r="F16" s="25" t="s">
        <v>82</v>
      </c>
      <c r="G16" s="26" t="s">
        <v>38</v>
      </c>
      <c r="H16" s="23"/>
      <c r="I16" s="23"/>
      <c r="J16" s="23"/>
      <c r="K16" s="23"/>
    </row>
    <row r="17" customFormat="false" ht="18" hidden="false" customHeight="true" outlineLevel="0" collapsed="false">
      <c r="A17" s="49" t="s">
        <v>106</v>
      </c>
      <c r="B17" s="49" t="s">
        <v>107</v>
      </c>
      <c r="C17" s="49" t="s">
        <v>104</v>
      </c>
      <c r="D17" s="49" t="s">
        <v>1101</v>
      </c>
      <c r="E17" s="49" t="s">
        <v>75</v>
      </c>
      <c r="F17" s="49" t="s">
        <v>82</v>
      </c>
      <c r="G17" s="49" t="s">
        <v>38</v>
      </c>
      <c r="H17" s="49"/>
      <c r="I17" s="49"/>
      <c r="J17" s="49"/>
      <c r="K17" s="49"/>
    </row>
    <row r="18" customFormat="false" ht="45" hidden="false" customHeight="true" outlineLevel="0" collapsed="false">
      <c r="A18" s="89" t="s">
        <v>1098</v>
      </c>
      <c r="B18" s="90"/>
      <c r="C18" s="90"/>
      <c r="D18" s="90"/>
      <c r="E18" s="90"/>
      <c r="F18" s="90"/>
      <c r="G18" s="90"/>
      <c r="H18" s="90"/>
      <c r="I18" s="90"/>
      <c r="J18" s="90"/>
      <c r="K18" s="91"/>
    </row>
    <row r="19" customFormat="false" ht="45" hidden="false" customHeight="true" outlineLevel="0" collapsed="false">
      <c r="A19" s="92" t="s">
        <v>109</v>
      </c>
      <c r="B19" s="32" t="s">
        <v>110</v>
      </c>
      <c r="C19" s="33" t="s">
        <v>93</v>
      </c>
      <c r="D19" s="32" t="s">
        <v>1099</v>
      </c>
      <c r="E19" s="32" t="s">
        <v>75</v>
      </c>
      <c r="F19" s="25" t="s">
        <v>82</v>
      </c>
      <c r="G19" s="26" t="s">
        <v>38</v>
      </c>
      <c r="H19" s="32"/>
      <c r="I19" s="32"/>
      <c r="J19" s="32"/>
      <c r="K19" s="32"/>
    </row>
    <row r="20" customFormat="false" ht="18" hidden="false" customHeight="true" outlineLevel="0" collapsed="false">
      <c r="A20" s="92" t="s">
        <v>112</v>
      </c>
      <c r="B20" s="92" t="s">
        <v>113</v>
      </c>
      <c r="C20" s="92" t="s">
        <v>93</v>
      </c>
      <c r="D20" s="92" t="s">
        <v>1099</v>
      </c>
      <c r="E20" s="92" t="s">
        <v>75</v>
      </c>
      <c r="F20" s="92" t="s">
        <v>82</v>
      </c>
      <c r="G20" s="92" t="s">
        <v>38</v>
      </c>
      <c r="H20" s="92"/>
      <c r="I20" s="92"/>
      <c r="J20" s="92"/>
      <c r="K20" s="92"/>
    </row>
    <row r="21" customFormat="false" ht="45" hidden="false" customHeight="true" outlineLevel="0" collapsed="false">
      <c r="A21" s="86" t="s">
        <v>1096</v>
      </c>
      <c r="B21" s="87"/>
      <c r="C21" s="87"/>
      <c r="D21" s="87"/>
      <c r="E21" s="87"/>
      <c r="F21" s="87"/>
      <c r="G21" s="87"/>
      <c r="H21" s="87"/>
      <c r="I21" s="87"/>
      <c r="J21" s="87"/>
      <c r="K21" s="88"/>
    </row>
    <row r="22" customFormat="false" ht="18" hidden="false" customHeight="true" outlineLevel="0" collapsed="false">
      <c r="A22" s="55" t="s">
        <v>115</v>
      </c>
      <c r="B22" s="55" t="s">
        <v>116</v>
      </c>
      <c r="C22" s="55" t="s">
        <v>79</v>
      </c>
      <c r="D22" s="55" t="s">
        <v>1097</v>
      </c>
      <c r="E22" s="55" t="s">
        <v>75</v>
      </c>
      <c r="F22" s="55" t="s">
        <v>89</v>
      </c>
      <c r="G22" s="55" t="s">
        <v>38</v>
      </c>
      <c r="H22" s="55"/>
      <c r="I22" s="55"/>
      <c r="J22" s="55"/>
      <c r="K22" s="55"/>
    </row>
    <row r="23" customFormat="false" ht="45" hidden="false" customHeight="true" outlineLevel="0" collapsed="false">
      <c r="A23" s="89" t="s">
        <v>1098</v>
      </c>
      <c r="B23" s="90"/>
      <c r="C23" s="90"/>
      <c r="D23" s="90"/>
      <c r="E23" s="90"/>
      <c r="F23" s="90"/>
      <c r="G23" s="90"/>
      <c r="H23" s="90"/>
      <c r="I23" s="90"/>
      <c r="J23" s="90"/>
      <c r="K23" s="91"/>
    </row>
    <row r="24" customFormat="false" ht="45" hidden="false" customHeight="true" outlineLevel="0" collapsed="false">
      <c r="A24" s="92" t="s">
        <v>119</v>
      </c>
      <c r="B24" s="23" t="s">
        <v>120</v>
      </c>
      <c r="C24" s="36" t="s">
        <v>93</v>
      </c>
      <c r="D24" s="23" t="s">
        <v>1099</v>
      </c>
      <c r="E24" s="23" t="s">
        <v>75</v>
      </c>
      <c r="F24" s="25" t="s">
        <v>82</v>
      </c>
      <c r="G24" s="26" t="s">
        <v>38</v>
      </c>
      <c r="H24" s="23"/>
      <c r="I24" s="23"/>
      <c r="J24" s="23"/>
      <c r="K24" s="23"/>
    </row>
    <row r="25" customFormat="false" ht="45" hidden="false" customHeight="true" outlineLevel="0" collapsed="false">
      <c r="A25" s="92" t="s">
        <v>122</v>
      </c>
      <c r="B25" s="32" t="s">
        <v>123</v>
      </c>
      <c r="C25" s="33" t="s">
        <v>93</v>
      </c>
      <c r="D25" s="32" t="s">
        <v>1099</v>
      </c>
      <c r="E25" s="32" t="s">
        <v>75</v>
      </c>
      <c r="F25" s="25" t="s">
        <v>82</v>
      </c>
      <c r="G25" s="26" t="s">
        <v>38</v>
      </c>
      <c r="H25" s="32"/>
      <c r="I25" s="32"/>
      <c r="J25" s="32"/>
      <c r="K25" s="32"/>
    </row>
    <row r="26" customFormat="false" ht="45" hidden="false" customHeight="true" outlineLevel="0" collapsed="false">
      <c r="A26" s="92" t="s">
        <v>125</v>
      </c>
      <c r="B26" s="23" t="s">
        <v>126</v>
      </c>
      <c r="C26" s="36" t="s">
        <v>93</v>
      </c>
      <c r="D26" s="23" t="s">
        <v>1099</v>
      </c>
      <c r="E26" s="23" t="s">
        <v>75</v>
      </c>
      <c r="F26" s="25" t="s">
        <v>82</v>
      </c>
      <c r="G26" s="26" t="s">
        <v>38</v>
      </c>
      <c r="H26" s="23"/>
      <c r="I26" s="23"/>
      <c r="J26" s="23"/>
      <c r="K26" s="23"/>
    </row>
    <row r="27" customFormat="false" ht="45" hidden="false" customHeight="true" outlineLevel="0" collapsed="false">
      <c r="A27" s="92" t="s">
        <v>128</v>
      </c>
      <c r="B27" s="32" t="s">
        <v>129</v>
      </c>
      <c r="C27" s="33" t="s">
        <v>93</v>
      </c>
      <c r="D27" s="32" t="s">
        <v>1099</v>
      </c>
      <c r="E27" s="32" t="s">
        <v>75</v>
      </c>
      <c r="F27" s="25" t="s">
        <v>82</v>
      </c>
      <c r="G27" s="26" t="s">
        <v>38</v>
      </c>
      <c r="H27" s="32"/>
      <c r="I27" s="32"/>
      <c r="J27" s="32"/>
      <c r="K27" s="32"/>
    </row>
    <row r="28" customFormat="false" ht="45" hidden="false" customHeight="true" outlineLevel="0" collapsed="false">
      <c r="A28" s="92" t="s">
        <v>131</v>
      </c>
      <c r="B28" s="23" t="s">
        <v>132</v>
      </c>
      <c r="C28" s="36" t="s">
        <v>93</v>
      </c>
      <c r="D28" s="23" t="s">
        <v>1099</v>
      </c>
      <c r="E28" s="23" t="s">
        <v>75</v>
      </c>
      <c r="F28" s="25" t="s">
        <v>82</v>
      </c>
      <c r="G28" s="26" t="s">
        <v>38</v>
      </c>
      <c r="H28" s="23"/>
      <c r="I28" s="23"/>
      <c r="J28" s="23"/>
      <c r="K28" s="23"/>
    </row>
    <row r="29" customFormat="false" ht="45" hidden="false" customHeight="true" outlineLevel="0" collapsed="false">
      <c r="A29" s="92" t="s">
        <v>134</v>
      </c>
      <c r="B29" s="32" t="s">
        <v>135</v>
      </c>
      <c r="C29" s="33" t="s">
        <v>93</v>
      </c>
      <c r="D29" s="32" t="s">
        <v>1099</v>
      </c>
      <c r="E29" s="32" t="s">
        <v>75</v>
      </c>
      <c r="F29" s="25" t="s">
        <v>82</v>
      </c>
      <c r="G29" s="26" t="s">
        <v>38</v>
      </c>
      <c r="H29" s="32"/>
      <c r="I29" s="32"/>
      <c r="J29" s="32"/>
      <c r="K29" s="32"/>
    </row>
    <row r="30" customFormat="false" ht="45" hidden="false" customHeight="true" outlineLevel="0" collapsed="false">
      <c r="A30" s="92" t="s">
        <v>137</v>
      </c>
      <c r="B30" s="23" t="s">
        <v>138</v>
      </c>
      <c r="C30" s="36" t="s">
        <v>93</v>
      </c>
      <c r="D30" s="23" t="s">
        <v>1099</v>
      </c>
      <c r="E30" s="23" t="s">
        <v>75</v>
      </c>
      <c r="F30" s="25" t="s">
        <v>82</v>
      </c>
      <c r="G30" s="26" t="s">
        <v>38</v>
      </c>
      <c r="H30" s="23"/>
      <c r="I30" s="23"/>
      <c r="J30" s="23"/>
      <c r="K30" s="23"/>
    </row>
    <row r="31" customFormat="false" ht="45" hidden="false" customHeight="true" outlineLevel="0" collapsed="false">
      <c r="A31" s="92" t="s">
        <v>140</v>
      </c>
      <c r="B31" s="32" t="s">
        <v>141</v>
      </c>
      <c r="C31" s="33" t="s">
        <v>93</v>
      </c>
      <c r="D31" s="32" t="s">
        <v>1099</v>
      </c>
      <c r="E31" s="32" t="s">
        <v>75</v>
      </c>
      <c r="F31" s="25" t="s">
        <v>82</v>
      </c>
      <c r="G31" s="26" t="s">
        <v>38</v>
      </c>
      <c r="H31" s="32"/>
      <c r="I31" s="32"/>
      <c r="J31" s="32"/>
      <c r="K31" s="32"/>
    </row>
    <row r="32" customFormat="false" ht="45" hidden="false" customHeight="true" outlineLevel="0" collapsed="false">
      <c r="A32" s="92" t="s">
        <v>143</v>
      </c>
      <c r="B32" s="23" t="s">
        <v>144</v>
      </c>
      <c r="C32" s="36" t="s">
        <v>93</v>
      </c>
      <c r="D32" s="23" t="s">
        <v>1099</v>
      </c>
      <c r="E32" s="23" t="s">
        <v>75</v>
      </c>
      <c r="F32" s="25" t="s">
        <v>82</v>
      </c>
      <c r="G32" s="26" t="s">
        <v>38</v>
      </c>
      <c r="H32" s="23"/>
      <c r="I32" s="23"/>
      <c r="J32" s="23"/>
      <c r="K32" s="23"/>
    </row>
    <row r="33" customFormat="false" ht="45" hidden="false" customHeight="true" outlineLevel="0" collapsed="false">
      <c r="A33" s="92" t="s">
        <v>146</v>
      </c>
      <c r="B33" s="32" t="s">
        <v>147</v>
      </c>
      <c r="C33" s="33" t="s">
        <v>93</v>
      </c>
      <c r="D33" s="32" t="s">
        <v>1099</v>
      </c>
      <c r="E33" s="32" t="s">
        <v>75</v>
      </c>
      <c r="F33" s="25" t="s">
        <v>82</v>
      </c>
      <c r="G33" s="26" t="s">
        <v>38</v>
      </c>
      <c r="H33" s="32"/>
      <c r="I33" s="32"/>
      <c r="J33" s="32"/>
      <c r="K33" s="32"/>
    </row>
    <row r="34" customFormat="false" ht="45" hidden="false" customHeight="true" outlineLevel="0" collapsed="false">
      <c r="A34" s="92" t="s">
        <v>149</v>
      </c>
      <c r="B34" s="23" t="s">
        <v>150</v>
      </c>
      <c r="C34" s="36" t="s">
        <v>93</v>
      </c>
      <c r="D34" s="23" t="s">
        <v>1099</v>
      </c>
      <c r="E34" s="23" t="s">
        <v>75</v>
      </c>
      <c r="F34" s="25" t="s">
        <v>89</v>
      </c>
      <c r="G34" s="26" t="s">
        <v>38</v>
      </c>
      <c r="H34" s="23"/>
      <c r="I34" s="23"/>
      <c r="J34" s="23"/>
      <c r="K34" s="23"/>
    </row>
    <row r="35" customFormat="false" ht="45" hidden="false" customHeight="true" outlineLevel="0" collapsed="false">
      <c r="A35" s="92" t="s">
        <v>152</v>
      </c>
      <c r="B35" s="32" t="s">
        <v>153</v>
      </c>
      <c r="C35" s="33" t="s">
        <v>93</v>
      </c>
      <c r="D35" s="32" t="s">
        <v>1099</v>
      </c>
      <c r="E35" s="32" t="s">
        <v>75</v>
      </c>
      <c r="F35" s="25" t="s">
        <v>82</v>
      </c>
      <c r="G35" s="26" t="s">
        <v>38</v>
      </c>
      <c r="H35" s="32"/>
      <c r="I35" s="32"/>
      <c r="J35" s="32"/>
      <c r="K35" s="32"/>
    </row>
    <row r="36" customFormat="false" ht="18" hidden="false" customHeight="true" outlineLevel="0" collapsed="false">
      <c r="A36" s="92" t="s">
        <v>155</v>
      </c>
      <c r="B36" s="92" t="s">
        <v>156</v>
      </c>
      <c r="C36" s="92" t="s">
        <v>93</v>
      </c>
      <c r="D36" s="92" t="s">
        <v>1099</v>
      </c>
      <c r="E36" s="92" t="s">
        <v>75</v>
      </c>
      <c r="F36" s="92" t="s">
        <v>82</v>
      </c>
      <c r="G36" s="92" t="s">
        <v>38</v>
      </c>
      <c r="H36" s="92"/>
      <c r="I36" s="92"/>
      <c r="J36" s="92"/>
      <c r="K36" s="92"/>
    </row>
    <row r="37" customFormat="false" ht="45" hidden="false" customHeight="true" outlineLevel="0" collapsed="false">
      <c r="A37" s="86" t="s">
        <v>1096</v>
      </c>
      <c r="B37" s="87"/>
      <c r="C37" s="87"/>
      <c r="D37" s="87"/>
      <c r="E37" s="87"/>
      <c r="F37" s="87"/>
      <c r="G37" s="87"/>
      <c r="H37" s="87"/>
      <c r="I37" s="87"/>
      <c r="J37" s="87"/>
      <c r="K37" s="88"/>
    </row>
    <row r="38" customFormat="false" ht="45" hidden="false" customHeight="true" outlineLevel="0" collapsed="false">
      <c r="A38" s="55" t="s">
        <v>159</v>
      </c>
      <c r="B38" s="23" t="s">
        <v>161</v>
      </c>
      <c r="C38" s="24" t="s">
        <v>79</v>
      </c>
      <c r="D38" s="23" t="s">
        <v>1097</v>
      </c>
      <c r="E38" s="23" t="s">
        <v>158</v>
      </c>
      <c r="F38" s="25" t="s">
        <v>82</v>
      </c>
      <c r="G38" s="26" t="s">
        <v>38</v>
      </c>
      <c r="H38" s="23"/>
      <c r="I38" s="23"/>
      <c r="J38" s="23"/>
      <c r="K38" s="23"/>
    </row>
    <row r="39" customFormat="false" ht="45" hidden="false" customHeight="true" outlineLevel="0" collapsed="false">
      <c r="A39" s="55" t="s">
        <v>163</v>
      </c>
      <c r="B39" s="32" t="s">
        <v>164</v>
      </c>
      <c r="C39" s="39" t="s">
        <v>79</v>
      </c>
      <c r="D39" s="32" t="s">
        <v>1097</v>
      </c>
      <c r="E39" s="32" t="s">
        <v>158</v>
      </c>
      <c r="F39" s="25" t="s">
        <v>82</v>
      </c>
      <c r="G39" s="26" t="s">
        <v>38</v>
      </c>
      <c r="H39" s="32"/>
      <c r="I39" s="32"/>
      <c r="J39" s="32"/>
      <c r="K39" s="32"/>
    </row>
    <row r="40" customFormat="false" ht="18" hidden="false" customHeight="true" outlineLevel="0" collapsed="false">
      <c r="A40" s="55" t="s">
        <v>166</v>
      </c>
      <c r="B40" s="55" t="s">
        <v>167</v>
      </c>
      <c r="C40" s="55" t="s">
        <v>79</v>
      </c>
      <c r="D40" s="55" t="s">
        <v>1097</v>
      </c>
      <c r="E40" s="55" t="s">
        <v>158</v>
      </c>
      <c r="F40" s="55" t="s">
        <v>89</v>
      </c>
      <c r="G40" s="55" t="s">
        <v>38</v>
      </c>
      <c r="H40" s="55"/>
      <c r="I40" s="55"/>
      <c r="J40" s="55"/>
      <c r="K40" s="55"/>
    </row>
    <row r="41" customFormat="false" ht="45" hidden="false" customHeight="true" outlineLevel="0" collapsed="false">
      <c r="A41" s="89" t="s">
        <v>1098</v>
      </c>
      <c r="B41" s="90"/>
      <c r="C41" s="90"/>
      <c r="D41" s="90"/>
      <c r="E41" s="90"/>
      <c r="F41" s="90"/>
      <c r="G41" s="90"/>
      <c r="H41" s="90"/>
      <c r="I41" s="90"/>
      <c r="J41" s="90"/>
      <c r="K41" s="91"/>
    </row>
    <row r="42" customFormat="false" ht="45" hidden="false" customHeight="true" outlineLevel="0" collapsed="false">
      <c r="A42" s="92" t="s">
        <v>169</v>
      </c>
      <c r="B42" s="23" t="s">
        <v>170</v>
      </c>
      <c r="C42" s="36" t="s">
        <v>93</v>
      </c>
      <c r="D42" s="23" t="s">
        <v>1099</v>
      </c>
      <c r="E42" s="23" t="s">
        <v>158</v>
      </c>
      <c r="F42" s="25" t="s">
        <v>82</v>
      </c>
      <c r="G42" s="26" t="s">
        <v>38</v>
      </c>
      <c r="H42" s="23"/>
      <c r="I42" s="23"/>
      <c r="J42" s="23"/>
      <c r="K42" s="23"/>
    </row>
    <row r="43" customFormat="false" ht="45" hidden="false" customHeight="true" outlineLevel="0" collapsed="false">
      <c r="A43" s="92" t="s">
        <v>172</v>
      </c>
      <c r="B43" s="32" t="s">
        <v>173</v>
      </c>
      <c r="C43" s="33" t="s">
        <v>93</v>
      </c>
      <c r="D43" s="32" t="s">
        <v>1099</v>
      </c>
      <c r="E43" s="32" t="s">
        <v>158</v>
      </c>
      <c r="F43" s="25" t="s">
        <v>82</v>
      </c>
      <c r="G43" s="26" t="s">
        <v>38</v>
      </c>
      <c r="H43" s="32"/>
      <c r="I43" s="32"/>
      <c r="J43" s="32"/>
      <c r="K43" s="32"/>
    </row>
    <row r="44" customFormat="false" ht="45" hidden="false" customHeight="true" outlineLevel="0" collapsed="false">
      <c r="A44" s="92" t="s">
        <v>175</v>
      </c>
      <c r="B44" s="23" t="s">
        <v>176</v>
      </c>
      <c r="C44" s="36" t="s">
        <v>93</v>
      </c>
      <c r="D44" s="23" t="s">
        <v>1099</v>
      </c>
      <c r="E44" s="23" t="s">
        <v>158</v>
      </c>
      <c r="F44" s="25" t="s">
        <v>82</v>
      </c>
      <c r="G44" s="26" t="s">
        <v>38</v>
      </c>
      <c r="H44" s="23"/>
      <c r="I44" s="23"/>
      <c r="J44" s="23"/>
      <c r="K44" s="23"/>
    </row>
    <row r="45" customFormat="false" ht="45" hidden="false" customHeight="true" outlineLevel="0" collapsed="false">
      <c r="A45" s="92" t="s">
        <v>179</v>
      </c>
      <c r="B45" s="32" t="s">
        <v>180</v>
      </c>
      <c r="C45" s="33" t="s">
        <v>93</v>
      </c>
      <c r="D45" s="32" t="s">
        <v>1099</v>
      </c>
      <c r="E45" s="32" t="s">
        <v>158</v>
      </c>
      <c r="F45" s="25" t="s">
        <v>82</v>
      </c>
      <c r="G45" s="26" t="s">
        <v>38</v>
      </c>
      <c r="H45" s="32"/>
      <c r="I45" s="32"/>
      <c r="J45" s="32"/>
      <c r="K45" s="32"/>
    </row>
    <row r="46" customFormat="false" ht="45" hidden="false" customHeight="true" outlineLevel="0" collapsed="false">
      <c r="A46" s="92" t="s">
        <v>182</v>
      </c>
      <c r="B46" s="23" t="s">
        <v>183</v>
      </c>
      <c r="C46" s="36" t="s">
        <v>93</v>
      </c>
      <c r="D46" s="23" t="s">
        <v>1099</v>
      </c>
      <c r="E46" s="23" t="s">
        <v>158</v>
      </c>
      <c r="F46" s="25" t="s">
        <v>82</v>
      </c>
      <c r="G46" s="26" t="s">
        <v>38</v>
      </c>
      <c r="H46" s="23"/>
      <c r="I46" s="23"/>
      <c r="J46" s="23"/>
      <c r="K46" s="23"/>
    </row>
    <row r="47" customFormat="false" ht="45" hidden="false" customHeight="true" outlineLevel="0" collapsed="false">
      <c r="A47" s="92" t="s">
        <v>185</v>
      </c>
      <c r="B47" s="32" t="s">
        <v>186</v>
      </c>
      <c r="C47" s="33" t="s">
        <v>93</v>
      </c>
      <c r="D47" s="32" t="s">
        <v>1099</v>
      </c>
      <c r="E47" s="32" t="s">
        <v>158</v>
      </c>
      <c r="F47" s="25" t="s">
        <v>82</v>
      </c>
      <c r="G47" s="26" t="s">
        <v>38</v>
      </c>
      <c r="H47" s="32"/>
      <c r="I47" s="32"/>
      <c r="J47" s="32"/>
      <c r="K47" s="32"/>
    </row>
    <row r="48" customFormat="false" ht="45" hidden="false" customHeight="true" outlineLevel="0" collapsed="false">
      <c r="A48" s="92" t="s">
        <v>188</v>
      </c>
      <c r="B48" s="23" t="s">
        <v>189</v>
      </c>
      <c r="C48" s="36" t="s">
        <v>93</v>
      </c>
      <c r="D48" s="23" t="s">
        <v>1099</v>
      </c>
      <c r="E48" s="23" t="s">
        <v>158</v>
      </c>
      <c r="F48" s="25" t="s">
        <v>82</v>
      </c>
      <c r="G48" s="26" t="s">
        <v>38</v>
      </c>
      <c r="H48" s="23"/>
      <c r="I48" s="23"/>
      <c r="J48" s="23"/>
      <c r="K48" s="23"/>
    </row>
    <row r="49" customFormat="false" ht="45" hidden="false" customHeight="true" outlineLevel="0" collapsed="false">
      <c r="A49" s="92" t="s">
        <v>191</v>
      </c>
      <c r="B49" s="32" t="s">
        <v>192</v>
      </c>
      <c r="C49" s="33" t="s">
        <v>93</v>
      </c>
      <c r="D49" s="32" t="s">
        <v>1099</v>
      </c>
      <c r="E49" s="32" t="s">
        <v>158</v>
      </c>
      <c r="F49" s="25" t="s">
        <v>82</v>
      </c>
      <c r="G49" s="26" t="s">
        <v>38</v>
      </c>
      <c r="H49" s="32"/>
      <c r="I49" s="32"/>
      <c r="J49" s="32"/>
      <c r="K49" s="32"/>
    </row>
    <row r="50" customFormat="false" ht="45" hidden="false" customHeight="true" outlineLevel="0" collapsed="false">
      <c r="A50" s="92" t="s">
        <v>194</v>
      </c>
      <c r="B50" s="23" t="s">
        <v>195</v>
      </c>
      <c r="C50" s="36" t="s">
        <v>93</v>
      </c>
      <c r="D50" s="23" t="s">
        <v>1099</v>
      </c>
      <c r="E50" s="23" t="s">
        <v>158</v>
      </c>
      <c r="F50" s="25" t="s">
        <v>82</v>
      </c>
      <c r="G50" s="26" t="s">
        <v>38</v>
      </c>
      <c r="H50" s="23"/>
      <c r="I50" s="23"/>
      <c r="J50" s="23"/>
      <c r="K50" s="23"/>
    </row>
    <row r="51" customFormat="false" ht="45" hidden="false" customHeight="true" outlineLevel="0" collapsed="false">
      <c r="A51" s="92" t="s">
        <v>197</v>
      </c>
      <c r="B51" s="32" t="s">
        <v>198</v>
      </c>
      <c r="C51" s="33" t="s">
        <v>93</v>
      </c>
      <c r="D51" s="32" t="s">
        <v>1099</v>
      </c>
      <c r="E51" s="32" t="s">
        <v>158</v>
      </c>
      <c r="F51" s="25" t="s">
        <v>82</v>
      </c>
      <c r="G51" s="26" t="s">
        <v>38</v>
      </c>
      <c r="H51" s="32"/>
      <c r="I51" s="32"/>
      <c r="J51" s="32"/>
      <c r="K51" s="32"/>
    </row>
    <row r="52" customFormat="false" ht="18" hidden="false" customHeight="true" outlineLevel="0" collapsed="false">
      <c r="A52" s="92" t="s">
        <v>200</v>
      </c>
      <c r="B52" s="92" t="s">
        <v>201</v>
      </c>
      <c r="C52" s="92" t="s">
        <v>93</v>
      </c>
      <c r="D52" s="92" t="s">
        <v>1099</v>
      </c>
      <c r="E52" s="92" t="s">
        <v>158</v>
      </c>
      <c r="F52" s="92" t="s">
        <v>82</v>
      </c>
      <c r="G52" s="92" t="s">
        <v>38</v>
      </c>
      <c r="H52" s="92"/>
      <c r="I52" s="92"/>
      <c r="J52" s="92"/>
      <c r="K52" s="92"/>
    </row>
    <row r="53" customFormat="false" ht="45" hidden="false" customHeight="true" outlineLevel="0" collapsed="false">
      <c r="A53" s="86" t="s">
        <v>1096</v>
      </c>
      <c r="B53" s="87"/>
      <c r="C53" s="87"/>
      <c r="D53" s="87"/>
      <c r="E53" s="87"/>
      <c r="F53" s="87"/>
      <c r="G53" s="87"/>
      <c r="H53" s="87"/>
      <c r="I53" s="87"/>
      <c r="J53" s="87"/>
      <c r="K53" s="88"/>
    </row>
    <row r="54" customFormat="false" ht="45" hidden="false" customHeight="true" outlineLevel="0" collapsed="false">
      <c r="A54" s="55" t="s">
        <v>205</v>
      </c>
      <c r="B54" s="23" t="s">
        <v>207</v>
      </c>
      <c r="C54" s="24" t="s">
        <v>79</v>
      </c>
      <c r="D54" s="23" t="s">
        <v>1097</v>
      </c>
      <c r="E54" s="23" t="s">
        <v>204</v>
      </c>
      <c r="F54" s="25" t="s">
        <v>82</v>
      </c>
      <c r="G54" s="26" t="s">
        <v>38</v>
      </c>
      <c r="H54" s="23"/>
      <c r="I54" s="23"/>
      <c r="J54" s="23"/>
      <c r="K54" s="23"/>
    </row>
    <row r="55" customFormat="false" ht="45" hidden="false" customHeight="true" outlineLevel="0" collapsed="false">
      <c r="A55" s="55" t="s">
        <v>209</v>
      </c>
      <c r="B55" s="32" t="s">
        <v>210</v>
      </c>
      <c r="C55" s="39" t="s">
        <v>79</v>
      </c>
      <c r="D55" s="32" t="s">
        <v>1097</v>
      </c>
      <c r="E55" s="32" t="s">
        <v>204</v>
      </c>
      <c r="F55" s="25" t="s">
        <v>82</v>
      </c>
      <c r="G55" s="26" t="s">
        <v>38</v>
      </c>
      <c r="H55" s="32"/>
      <c r="I55" s="32"/>
      <c r="J55" s="32"/>
      <c r="K55" s="32"/>
    </row>
    <row r="56" customFormat="false" ht="18" hidden="false" customHeight="true" outlineLevel="0" collapsed="false">
      <c r="A56" s="55" t="s">
        <v>212</v>
      </c>
      <c r="B56" s="55" t="s">
        <v>213</v>
      </c>
      <c r="C56" s="55" t="s">
        <v>79</v>
      </c>
      <c r="D56" s="55" t="s">
        <v>1097</v>
      </c>
      <c r="E56" s="55" t="s">
        <v>204</v>
      </c>
      <c r="F56" s="55" t="s">
        <v>89</v>
      </c>
      <c r="G56" s="55" t="s">
        <v>38</v>
      </c>
      <c r="H56" s="55"/>
      <c r="I56" s="55"/>
      <c r="J56" s="55"/>
      <c r="K56" s="55"/>
    </row>
    <row r="57" customFormat="false" ht="45" hidden="false" customHeight="true" outlineLevel="0" collapsed="false">
      <c r="A57" s="93" t="s">
        <v>1100</v>
      </c>
      <c r="B57" s="94"/>
      <c r="C57" s="94"/>
      <c r="D57" s="94"/>
      <c r="E57" s="94"/>
      <c r="F57" s="94"/>
      <c r="G57" s="94"/>
      <c r="H57" s="94"/>
      <c r="I57" s="94"/>
      <c r="J57" s="94"/>
      <c r="K57" s="95"/>
    </row>
    <row r="58" customFormat="false" ht="45" hidden="false" customHeight="true" outlineLevel="0" collapsed="false">
      <c r="A58" s="49" t="s">
        <v>215</v>
      </c>
      <c r="B58" s="23" t="s">
        <v>216</v>
      </c>
      <c r="C58" s="96" t="s">
        <v>104</v>
      </c>
      <c r="D58" s="23" t="s">
        <v>1101</v>
      </c>
      <c r="E58" s="23" t="s">
        <v>204</v>
      </c>
      <c r="F58" s="25" t="s">
        <v>82</v>
      </c>
      <c r="G58" s="26" t="s">
        <v>38</v>
      </c>
      <c r="H58" s="23"/>
      <c r="I58" s="23"/>
      <c r="J58" s="23"/>
      <c r="K58" s="23"/>
    </row>
    <row r="59" customFormat="false" ht="45" hidden="false" customHeight="true" outlineLevel="0" collapsed="false">
      <c r="A59" s="49" t="s">
        <v>218</v>
      </c>
      <c r="B59" s="32" t="s">
        <v>219</v>
      </c>
      <c r="C59" s="44" t="s">
        <v>104</v>
      </c>
      <c r="D59" s="32" t="s">
        <v>1101</v>
      </c>
      <c r="E59" s="32" t="s">
        <v>204</v>
      </c>
      <c r="F59" s="25" t="s">
        <v>82</v>
      </c>
      <c r="G59" s="26" t="s">
        <v>38</v>
      </c>
      <c r="H59" s="32"/>
      <c r="I59" s="32"/>
      <c r="J59" s="32"/>
      <c r="K59" s="32"/>
    </row>
    <row r="60" customFormat="false" ht="45" hidden="false" customHeight="true" outlineLevel="0" collapsed="false">
      <c r="A60" s="49" t="s">
        <v>222</v>
      </c>
      <c r="B60" s="23" t="s">
        <v>223</v>
      </c>
      <c r="C60" s="96" t="s">
        <v>104</v>
      </c>
      <c r="D60" s="23" t="s">
        <v>1101</v>
      </c>
      <c r="E60" s="23" t="s">
        <v>204</v>
      </c>
      <c r="F60" s="25" t="s">
        <v>224</v>
      </c>
      <c r="G60" s="26" t="s">
        <v>38</v>
      </c>
      <c r="H60" s="23"/>
      <c r="I60" s="23"/>
      <c r="J60" s="23"/>
      <c r="K60" s="23"/>
    </row>
    <row r="61" customFormat="false" ht="45" hidden="false" customHeight="true" outlineLevel="0" collapsed="false">
      <c r="A61" s="49" t="s">
        <v>226</v>
      </c>
      <c r="B61" s="32" t="s">
        <v>227</v>
      </c>
      <c r="C61" s="44" t="s">
        <v>104</v>
      </c>
      <c r="D61" s="32" t="s">
        <v>1101</v>
      </c>
      <c r="E61" s="32" t="s">
        <v>204</v>
      </c>
      <c r="F61" s="25" t="s">
        <v>224</v>
      </c>
      <c r="G61" s="26" t="s">
        <v>38</v>
      </c>
      <c r="H61" s="32"/>
      <c r="I61" s="32"/>
      <c r="J61" s="32"/>
      <c r="K61" s="32"/>
    </row>
    <row r="62" customFormat="false" ht="45" hidden="false" customHeight="true" outlineLevel="0" collapsed="false">
      <c r="A62" s="49" t="s">
        <v>229</v>
      </c>
      <c r="B62" s="23" t="s">
        <v>230</v>
      </c>
      <c r="C62" s="96" t="s">
        <v>104</v>
      </c>
      <c r="D62" s="23" t="s">
        <v>1101</v>
      </c>
      <c r="E62" s="23" t="s">
        <v>204</v>
      </c>
      <c r="F62" s="25" t="s">
        <v>224</v>
      </c>
      <c r="G62" s="26" t="s">
        <v>38</v>
      </c>
      <c r="H62" s="23"/>
      <c r="I62" s="23"/>
      <c r="J62" s="23"/>
      <c r="K62" s="23"/>
    </row>
    <row r="63" customFormat="false" ht="45" hidden="false" customHeight="true" outlineLevel="0" collapsed="false">
      <c r="A63" s="49" t="s">
        <v>232</v>
      </c>
      <c r="B63" s="32" t="s">
        <v>233</v>
      </c>
      <c r="C63" s="44" t="s">
        <v>104</v>
      </c>
      <c r="D63" s="32" t="s">
        <v>1101</v>
      </c>
      <c r="E63" s="32" t="s">
        <v>204</v>
      </c>
      <c r="F63" s="25" t="s">
        <v>224</v>
      </c>
      <c r="G63" s="26" t="s">
        <v>38</v>
      </c>
      <c r="H63" s="32"/>
      <c r="I63" s="32"/>
      <c r="J63" s="32"/>
      <c r="K63" s="32"/>
    </row>
    <row r="64" customFormat="false" ht="45" hidden="false" customHeight="true" outlineLevel="0" collapsed="false">
      <c r="A64" s="49" t="s">
        <v>235</v>
      </c>
      <c r="B64" s="23" t="s">
        <v>236</v>
      </c>
      <c r="C64" s="96" t="s">
        <v>104</v>
      </c>
      <c r="D64" s="23" t="s">
        <v>1101</v>
      </c>
      <c r="E64" s="23" t="s">
        <v>204</v>
      </c>
      <c r="F64" s="25" t="s">
        <v>224</v>
      </c>
      <c r="G64" s="26" t="s">
        <v>38</v>
      </c>
      <c r="H64" s="23"/>
      <c r="I64" s="23"/>
      <c r="J64" s="23"/>
      <c r="K64" s="23"/>
    </row>
    <row r="65" customFormat="false" ht="45" hidden="false" customHeight="true" outlineLevel="0" collapsed="false">
      <c r="A65" s="49" t="s">
        <v>238</v>
      </c>
      <c r="B65" s="32" t="s">
        <v>239</v>
      </c>
      <c r="C65" s="44" t="s">
        <v>104</v>
      </c>
      <c r="D65" s="32" t="s">
        <v>1101</v>
      </c>
      <c r="E65" s="32" t="s">
        <v>204</v>
      </c>
      <c r="F65" s="25" t="s">
        <v>224</v>
      </c>
      <c r="G65" s="26" t="s">
        <v>38</v>
      </c>
      <c r="H65" s="32"/>
      <c r="I65" s="32"/>
      <c r="J65" s="32"/>
      <c r="K65" s="32"/>
    </row>
    <row r="66" customFormat="false" ht="18" hidden="false" customHeight="true" outlineLevel="0" collapsed="false">
      <c r="A66" s="49" t="s">
        <v>241</v>
      </c>
      <c r="B66" s="49" t="s">
        <v>242</v>
      </c>
      <c r="C66" s="49" t="s">
        <v>104</v>
      </c>
      <c r="D66" s="49" t="s">
        <v>1101</v>
      </c>
      <c r="E66" s="49" t="s">
        <v>204</v>
      </c>
      <c r="F66" s="49" t="s">
        <v>224</v>
      </c>
      <c r="G66" s="49" t="s">
        <v>38</v>
      </c>
      <c r="H66" s="49"/>
      <c r="I66" s="49"/>
      <c r="J66" s="49"/>
      <c r="K66" s="49"/>
    </row>
    <row r="67" customFormat="false" ht="45" hidden="false" customHeight="true" outlineLevel="0" collapsed="false">
      <c r="A67" s="97" t="s">
        <v>1102</v>
      </c>
      <c r="B67" s="98"/>
      <c r="C67" s="98"/>
      <c r="D67" s="98"/>
      <c r="E67" s="98"/>
      <c r="F67" s="98"/>
      <c r="G67" s="98"/>
      <c r="H67" s="98"/>
      <c r="I67" s="98"/>
      <c r="J67" s="98"/>
      <c r="K67" s="99"/>
    </row>
    <row r="68" customFormat="false" ht="45" hidden="false" customHeight="true" outlineLevel="0" collapsed="false">
      <c r="A68" s="21" t="s">
        <v>245</v>
      </c>
      <c r="B68" s="23" t="s">
        <v>246</v>
      </c>
      <c r="C68" s="45" t="s">
        <v>247</v>
      </c>
      <c r="D68" s="23" t="s">
        <v>1103</v>
      </c>
      <c r="E68" s="23" t="s">
        <v>204</v>
      </c>
      <c r="F68" s="25" t="s">
        <v>82</v>
      </c>
      <c r="G68" s="26" t="s">
        <v>38</v>
      </c>
      <c r="H68" s="23"/>
      <c r="I68" s="23"/>
      <c r="J68" s="23"/>
      <c r="K68" s="23"/>
    </row>
    <row r="69" customFormat="false" ht="45" hidden="false" customHeight="true" outlineLevel="0" collapsed="false">
      <c r="A69" s="21" t="s">
        <v>249</v>
      </c>
      <c r="B69" s="32" t="s">
        <v>250</v>
      </c>
      <c r="C69" s="47" t="s">
        <v>247</v>
      </c>
      <c r="D69" s="32" t="s">
        <v>1103</v>
      </c>
      <c r="E69" s="32" t="s">
        <v>204</v>
      </c>
      <c r="F69" s="25" t="s">
        <v>82</v>
      </c>
      <c r="G69" s="26" t="s">
        <v>38</v>
      </c>
      <c r="H69" s="32"/>
      <c r="I69" s="32"/>
      <c r="J69" s="32"/>
      <c r="K69" s="32"/>
    </row>
    <row r="70" customFormat="false" ht="45" hidden="false" customHeight="true" outlineLevel="0" collapsed="false">
      <c r="A70" s="21" t="s">
        <v>252</v>
      </c>
      <c r="B70" s="23" t="s">
        <v>253</v>
      </c>
      <c r="C70" s="45" t="s">
        <v>247</v>
      </c>
      <c r="D70" s="23" t="s">
        <v>1103</v>
      </c>
      <c r="E70" s="23" t="s">
        <v>204</v>
      </c>
      <c r="F70" s="25" t="s">
        <v>82</v>
      </c>
      <c r="G70" s="26" t="s">
        <v>38</v>
      </c>
      <c r="H70" s="23"/>
      <c r="I70" s="23"/>
      <c r="J70" s="23"/>
      <c r="K70" s="23"/>
    </row>
    <row r="71" customFormat="false" ht="45" hidden="false" customHeight="true" outlineLevel="0" collapsed="false">
      <c r="A71" s="21" t="s">
        <v>255</v>
      </c>
      <c r="B71" s="32" t="s">
        <v>256</v>
      </c>
      <c r="C71" s="47" t="s">
        <v>247</v>
      </c>
      <c r="D71" s="32" t="s">
        <v>1103</v>
      </c>
      <c r="E71" s="32" t="s">
        <v>204</v>
      </c>
      <c r="F71" s="25" t="s">
        <v>224</v>
      </c>
      <c r="G71" s="26" t="s">
        <v>38</v>
      </c>
      <c r="H71" s="32"/>
      <c r="I71" s="32"/>
      <c r="J71" s="32"/>
      <c r="K71" s="32"/>
    </row>
    <row r="72" customFormat="false" ht="45" hidden="false" customHeight="true" outlineLevel="0" collapsed="false">
      <c r="A72" s="21" t="s">
        <v>258</v>
      </c>
      <c r="B72" s="23" t="s">
        <v>259</v>
      </c>
      <c r="C72" s="45" t="s">
        <v>247</v>
      </c>
      <c r="D72" s="23" t="s">
        <v>1103</v>
      </c>
      <c r="E72" s="23" t="s">
        <v>204</v>
      </c>
      <c r="F72" s="25" t="s">
        <v>224</v>
      </c>
      <c r="G72" s="26" t="s">
        <v>38</v>
      </c>
      <c r="H72" s="23"/>
      <c r="I72" s="23"/>
      <c r="J72" s="23"/>
      <c r="K72" s="23"/>
    </row>
    <row r="73" customFormat="false" ht="45" hidden="false" customHeight="true" outlineLevel="0" collapsed="false">
      <c r="A73" s="21" t="s">
        <v>261</v>
      </c>
      <c r="B73" s="32" t="s">
        <v>262</v>
      </c>
      <c r="C73" s="47" t="s">
        <v>247</v>
      </c>
      <c r="D73" s="32" t="s">
        <v>1103</v>
      </c>
      <c r="E73" s="32" t="s">
        <v>204</v>
      </c>
      <c r="F73" s="25" t="s">
        <v>224</v>
      </c>
      <c r="G73" s="26" t="s">
        <v>38</v>
      </c>
      <c r="H73" s="32"/>
      <c r="I73" s="32"/>
      <c r="J73" s="32"/>
      <c r="K73" s="32"/>
    </row>
    <row r="74" customFormat="false" ht="45" hidden="false" customHeight="true" outlineLevel="0" collapsed="false">
      <c r="A74" s="21" t="s">
        <v>264</v>
      </c>
      <c r="B74" s="23" t="s">
        <v>265</v>
      </c>
      <c r="C74" s="45" t="s">
        <v>247</v>
      </c>
      <c r="D74" s="23" t="s">
        <v>1103</v>
      </c>
      <c r="E74" s="23" t="s">
        <v>204</v>
      </c>
      <c r="F74" s="25" t="s">
        <v>82</v>
      </c>
      <c r="G74" s="26" t="s">
        <v>38</v>
      </c>
      <c r="H74" s="23"/>
      <c r="I74" s="23"/>
      <c r="J74" s="23"/>
      <c r="K74" s="23"/>
    </row>
    <row r="75" customFormat="false" ht="45" hidden="false" customHeight="true" outlineLevel="0" collapsed="false">
      <c r="A75" s="21" t="s">
        <v>267</v>
      </c>
      <c r="B75" s="32" t="s">
        <v>268</v>
      </c>
      <c r="C75" s="47" t="s">
        <v>247</v>
      </c>
      <c r="D75" s="32" t="s">
        <v>1103</v>
      </c>
      <c r="E75" s="32" t="s">
        <v>204</v>
      </c>
      <c r="F75" s="25" t="s">
        <v>82</v>
      </c>
      <c r="G75" s="26" t="s">
        <v>38</v>
      </c>
      <c r="H75" s="32"/>
      <c r="I75" s="32"/>
      <c r="J75" s="32"/>
      <c r="K75" s="32"/>
    </row>
    <row r="76" customFormat="false" ht="45" hidden="false" customHeight="true" outlineLevel="0" collapsed="false">
      <c r="A76" s="21" t="s">
        <v>270</v>
      </c>
      <c r="B76" s="23" t="s">
        <v>271</v>
      </c>
      <c r="C76" s="45" t="s">
        <v>247</v>
      </c>
      <c r="D76" s="23" t="s">
        <v>1103</v>
      </c>
      <c r="E76" s="23" t="s">
        <v>204</v>
      </c>
      <c r="F76" s="25" t="s">
        <v>224</v>
      </c>
      <c r="G76" s="26" t="s">
        <v>38</v>
      </c>
      <c r="H76" s="23"/>
      <c r="I76" s="23"/>
      <c r="J76" s="23"/>
      <c r="K76" s="23"/>
    </row>
    <row r="77" customFormat="false" ht="45" hidden="false" customHeight="true" outlineLevel="0" collapsed="false">
      <c r="A77" s="21" t="s">
        <v>273</v>
      </c>
      <c r="B77" s="32" t="s">
        <v>274</v>
      </c>
      <c r="C77" s="47" t="s">
        <v>247</v>
      </c>
      <c r="D77" s="32" t="s">
        <v>1103</v>
      </c>
      <c r="E77" s="32" t="s">
        <v>204</v>
      </c>
      <c r="F77" s="25" t="s">
        <v>224</v>
      </c>
      <c r="G77" s="26" t="s">
        <v>38</v>
      </c>
      <c r="H77" s="32"/>
      <c r="I77" s="32"/>
      <c r="J77" s="32"/>
      <c r="K77" s="32"/>
    </row>
    <row r="78" customFormat="false" ht="45" hidden="false" customHeight="true" outlineLevel="0" collapsed="false">
      <c r="A78" s="21" t="s">
        <v>276</v>
      </c>
      <c r="B78" s="23" t="s">
        <v>277</v>
      </c>
      <c r="C78" s="45" t="s">
        <v>247</v>
      </c>
      <c r="D78" s="23" t="s">
        <v>1103</v>
      </c>
      <c r="E78" s="23" t="s">
        <v>204</v>
      </c>
      <c r="F78" s="25" t="s">
        <v>82</v>
      </c>
      <c r="G78" s="26" t="s">
        <v>38</v>
      </c>
      <c r="H78" s="23"/>
      <c r="I78" s="23"/>
      <c r="J78" s="23"/>
      <c r="K78" s="23"/>
    </row>
    <row r="79" customFormat="false" ht="45" hidden="false" customHeight="true" outlineLevel="0" collapsed="false">
      <c r="A79" s="21" t="s">
        <v>280</v>
      </c>
      <c r="B79" s="32" t="s">
        <v>281</v>
      </c>
      <c r="C79" s="47" t="s">
        <v>247</v>
      </c>
      <c r="D79" s="32" t="s">
        <v>1103</v>
      </c>
      <c r="E79" s="32" t="s">
        <v>204</v>
      </c>
      <c r="F79" s="25" t="s">
        <v>224</v>
      </c>
      <c r="G79" s="26" t="s">
        <v>38</v>
      </c>
      <c r="H79" s="32"/>
      <c r="I79" s="32"/>
      <c r="J79" s="32"/>
      <c r="K79" s="32"/>
    </row>
    <row r="80" customFormat="false" ht="45" hidden="false" customHeight="true" outlineLevel="0" collapsed="false">
      <c r="A80" s="21" t="s">
        <v>283</v>
      </c>
      <c r="B80" s="23" t="s">
        <v>284</v>
      </c>
      <c r="C80" s="45" t="s">
        <v>247</v>
      </c>
      <c r="D80" s="23" t="s">
        <v>1103</v>
      </c>
      <c r="E80" s="23" t="s">
        <v>204</v>
      </c>
      <c r="F80" s="25" t="s">
        <v>82</v>
      </c>
      <c r="G80" s="26" t="s">
        <v>38</v>
      </c>
      <c r="H80" s="23"/>
      <c r="I80" s="23"/>
      <c r="J80" s="23"/>
      <c r="K80" s="23"/>
    </row>
    <row r="81" customFormat="false" ht="45" hidden="false" customHeight="true" outlineLevel="0" collapsed="false">
      <c r="A81" s="21" t="s">
        <v>286</v>
      </c>
      <c r="B81" s="32" t="s">
        <v>287</v>
      </c>
      <c r="C81" s="47" t="s">
        <v>247</v>
      </c>
      <c r="D81" s="32" t="s">
        <v>1103</v>
      </c>
      <c r="E81" s="32" t="s">
        <v>204</v>
      </c>
      <c r="F81" s="25" t="s">
        <v>89</v>
      </c>
      <c r="G81" s="26" t="s">
        <v>38</v>
      </c>
      <c r="H81" s="32"/>
      <c r="I81" s="32"/>
      <c r="J81" s="32"/>
      <c r="K81" s="32"/>
    </row>
    <row r="82" customFormat="false" ht="45" hidden="false" customHeight="true" outlineLevel="0" collapsed="false">
      <c r="A82" s="21" t="s">
        <v>289</v>
      </c>
      <c r="B82" s="23" t="s">
        <v>290</v>
      </c>
      <c r="C82" s="45" t="s">
        <v>247</v>
      </c>
      <c r="D82" s="23" t="s">
        <v>1103</v>
      </c>
      <c r="E82" s="23" t="s">
        <v>204</v>
      </c>
      <c r="F82" s="25" t="s">
        <v>224</v>
      </c>
      <c r="G82" s="26" t="s">
        <v>38</v>
      </c>
      <c r="H82" s="23"/>
      <c r="I82" s="23"/>
      <c r="J82" s="23"/>
      <c r="K82" s="23"/>
    </row>
    <row r="83" customFormat="false" ht="45" hidden="false" customHeight="true" outlineLevel="0" collapsed="false">
      <c r="A83" s="21" t="s">
        <v>292</v>
      </c>
      <c r="B83" s="32" t="s">
        <v>293</v>
      </c>
      <c r="C83" s="47" t="s">
        <v>247</v>
      </c>
      <c r="D83" s="32" t="s">
        <v>1103</v>
      </c>
      <c r="E83" s="32" t="s">
        <v>204</v>
      </c>
      <c r="F83" s="25" t="s">
        <v>82</v>
      </c>
      <c r="G83" s="26" t="s">
        <v>38</v>
      </c>
      <c r="H83" s="32"/>
      <c r="I83" s="32"/>
      <c r="J83" s="32"/>
      <c r="K83" s="32"/>
    </row>
    <row r="84" customFormat="false" ht="45" hidden="false" customHeight="true" outlineLevel="0" collapsed="false">
      <c r="A84" s="21" t="s">
        <v>295</v>
      </c>
      <c r="B84" s="23" t="s">
        <v>296</v>
      </c>
      <c r="C84" s="45" t="s">
        <v>247</v>
      </c>
      <c r="D84" s="23" t="s">
        <v>1103</v>
      </c>
      <c r="E84" s="23" t="s">
        <v>204</v>
      </c>
      <c r="F84" s="25" t="s">
        <v>82</v>
      </c>
      <c r="G84" s="26" t="s">
        <v>38</v>
      </c>
      <c r="H84" s="23"/>
      <c r="I84" s="23"/>
      <c r="J84" s="23"/>
      <c r="K84" s="23"/>
    </row>
    <row r="85" customFormat="false" ht="45" hidden="false" customHeight="true" outlineLevel="0" collapsed="false">
      <c r="A85" s="21" t="s">
        <v>298</v>
      </c>
      <c r="B85" s="32" t="s">
        <v>299</v>
      </c>
      <c r="C85" s="47" t="s">
        <v>247</v>
      </c>
      <c r="D85" s="32" t="s">
        <v>1103</v>
      </c>
      <c r="E85" s="32" t="s">
        <v>204</v>
      </c>
      <c r="F85" s="25" t="s">
        <v>82</v>
      </c>
      <c r="G85" s="26" t="s">
        <v>38</v>
      </c>
      <c r="H85" s="32"/>
      <c r="I85" s="32"/>
      <c r="J85" s="32"/>
      <c r="K85" s="32"/>
    </row>
    <row r="86" customFormat="false" ht="45" hidden="false" customHeight="true" outlineLevel="0" collapsed="false">
      <c r="A86" s="21" t="s">
        <v>301</v>
      </c>
      <c r="B86" s="23" t="s">
        <v>302</v>
      </c>
      <c r="C86" s="45" t="s">
        <v>247</v>
      </c>
      <c r="D86" s="23" t="s">
        <v>1103</v>
      </c>
      <c r="E86" s="23" t="s">
        <v>204</v>
      </c>
      <c r="F86" s="25" t="s">
        <v>82</v>
      </c>
      <c r="G86" s="26" t="s">
        <v>38</v>
      </c>
      <c r="H86" s="23"/>
      <c r="I86" s="23"/>
      <c r="J86" s="23"/>
      <c r="K86" s="23"/>
    </row>
    <row r="87" customFormat="false" ht="45" hidden="false" customHeight="true" outlineLevel="0" collapsed="false">
      <c r="A87" s="21" t="s">
        <v>305</v>
      </c>
      <c r="B87" s="32" t="s">
        <v>306</v>
      </c>
      <c r="C87" s="47" t="s">
        <v>247</v>
      </c>
      <c r="D87" s="32" t="s">
        <v>1103</v>
      </c>
      <c r="E87" s="32" t="s">
        <v>204</v>
      </c>
      <c r="F87" s="25" t="s">
        <v>82</v>
      </c>
      <c r="G87" s="26" t="s">
        <v>38</v>
      </c>
      <c r="H87" s="32"/>
      <c r="I87" s="32"/>
      <c r="J87" s="32"/>
      <c r="K87" s="32"/>
    </row>
    <row r="88" customFormat="false" ht="45" hidden="false" customHeight="true" outlineLevel="0" collapsed="false">
      <c r="A88" s="21" t="s">
        <v>308</v>
      </c>
      <c r="B88" s="23" t="s">
        <v>309</v>
      </c>
      <c r="C88" s="45" t="s">
        <v>247</v>
      </c>
      <c r="D88" s="23" t="s">
        <v>1103</v>
      </c>
      <c r="E88" s="23" t="s">
        <v>204</v>
      </c>
      <c r="F88" s="25" t="s">
        <v>82</v>
      </c>
      <c r="G88" s="26" t="s">
        <v>38</v>
      </c>
      <c r="H88" s="23"/>
      <c r="I88" s="23"/>
      <c r="J88" s="23"/>
      <c r="K88" s="23"/>
    </row>
    <row r="89" customFormat="false" ht="45" hidden="false" customHeight="true" outlineLevel="0" collapsed="false">
      <c r="A89" s="21" t="s">
        <v>312</v>
      </c>
      <c r="B89" s="32" t="s">
        <v>313</v>
      </c>
      <c r="C89" s="47" t="s">
        <v>247</v>
      </c>
      <c r="D89" s="32" t="s">
        <v>1103</v>
      </c>
      <c r="E89" s="32" t="s">
        <v>204</v>
      </c>
      <c r="F89" s="25" t="s">
        <v>82</v>
      </c>
      <c r="G89" s="26" t="s">
        <v>38</v>
      </c>
      <c r="H89" s="32"/>
      <c r="I89" s="32"/>
      <c r="J89" s="32"/>
      <c r="K89" s="32"/>
    </row>
    <row r="90" customFormat="false" ht="45" hidden="false" customHeight="true" outlineLevel="0" collapsed="false">
      <c r="A90" s="21" t="s">
        <v>315</v>
      </c>
      <c r="B90" s="23" t="s">
        <v>316</v>
      </c>
      <c r="C90" s="45" t="s">
        <v>247</v>
      </c>
      <c r="D90" s="23" t="s">
        <v>1103</v>
      </c>
      <c r="E90" s="23" t="s">
        <v>204</v>
      </c>
      <c r="F90" s="25" t="s">
        <v>89</v>
      </c>
      <c r="G90" s="26" t="s">
        <v>38</v>
      </c>
      <c r="H90" s="23"/>
      <c r="I90" s="23"/>
      <c r="J90" s="23"/>
      <c r="K90" s="23"/>
    </row>
    <row r="91" customFormat="false" ht="18" hidden="false" customHeight="true" outlineLevel="0" collapsed="false">
      <c r="A91" s="21" t="s">
        <v>319</v>
      </c>
      <c r="B91" s="21" t="s">
        <v>320</v>
      </c>
      <c r="C91" s="21" t="s">
        <v>247</v>
      </c>
      <c r="D91" s="21" t="s">
        <v>1103</v>
      </c>
      <c r="E91" s="21" t="s">
        <v>204</v>
      </c>
      <c r="F91" s="21" t="s">
        <v>82</v>
      </c>
      <c r="G91" s="21" t="s">
        <v>38</v>
      </c>
      <c r="H91" s="21"/>
      <c r="I91" s="21"/>
      <c r="J91" s="21"/>
      <c r="K91" s="21"/>
    </row>
    <row r="92" customFormat="false" ht="45" hidden="false" customHeight="true" outlineLevel="0" collapsed="false">
      <c r="A92" s="86" t="s">
        <v>1096</v>
      </c>
      <c r="B92" s="87"/>
      <c r="C92" s="87"/>
      <c r="D92" s="87"/>
      <c r="E92" s="87"/>
      <c r="F92" s="87"/>
      <c r="G92" s="87"/>
      <c r="H92" s="87"/>
      <c r="I92" s="87"/>
      <c r="J92" s="87"/>
      <c r="K92" s="88"/>
    </row>
    <row r="93" customFormat="false" ht="45" hidden="false" customHeight="true" outlineLevel="0" collapsed="false">
      <c r="A93" s="55" t="s">
        <v>323</v>
      </c>
      <c r="B93" s="32" t="s">
        <v>325</v>
      </c>
      <c r="C93" s="39" t="s">
        <v>79</v>
      </c>
      <c r="D93" s="32" t="s">
        <v>1097</v>
      </c>
      <c r="E93" s="32" t="s">
        <v>322</v>
      </c>
      <c r="F93" s="25" t="s">
        <v>82</v>
      </c>
      <c r="G93" s="26" t="s">
        <v>38</v>
      </c>
      <c r="H93" s="32"/>
      <c r="I93" s="32"/>
      <c r="J93" s="32"/>
      <c r="K93" s="32"/>
    </row>
    <row r="94" customFormat="false" ht="45" hidden="false" customHeight="true" outlineLevel="0" collapsed="false">
      <c r="A94" s="55" t="s">
        <v>327</v>
      </c>
      <c r="B94" s="23" t="s">
        <v>328</v>
      </c>
      <c r="C94" s="24" t="s">
        <v>79</v>
      </c>
      <c r="D94" s="23" t="s">
        <v>1097</v>
      </c>
      <c r="E94" s="23" t="s">
        <v>322</v>
      </c>
      <c r="F94" s="25" t="s">
        <v>82</v>
      </c>
      <c r="G94" s="26" t="s">
        <v>38</v>
      </c>
      <c r="H94" s="23"/>
      <c r="I94" s="23"/>
      <c r="J94" s="23"/>
      <c r="K94" s="23"/>
    </row>
    <row r="95" customFormat="false" ht="18" hidden="false" customHeight="true" outlineLevel="0" collapsed="false">
      <c r="A95" s="55" t="s">
        <v>330</v>
      </c>
      <c r="B95" s="55" t="s">
        <v>331</v>
      </c>
      <c r="C95" s="55" t="s">
        <v>79</v>
      </c>
      <c r="D95" s="55" t="s">
        <v>1097</v>
      </c>
      <c r="E95" s="55" t="s">
        <v>322</v>
      </c>
      <c r="F95" s="55" t="s">
        <v>89</v>
      </c>
      <c r="G95" s="55" t="s">
        <v>38</v>
      </c>
      <c r="H95" s="55"/>
      <c r="I95" s="55"/>
      <c r="J95" s="55"/>
      <c r="K95" s="55"/>
    </row>
    <row r="96" customFormat="false" ht="45" hidden="false" customHeight="true" outlineLevel="0" collapsed="false">
      <c r="A96" s="89" t="s">
        <v>1098</v>
      </c>
      <c r="B96" s="90"/>
      <c r="C96" s="90"/>
      <c r="D96" s="90"/>
      <c r="E96" s="90"/>
      <c r="F96" s="90"/>
      <c r="G96" s="90"/>
      <c r="H96" s="90"/>
      <c r="I96" s="90"/>
      <c r="J96" s="90"/>
      <c r="K96" s="91"/>
    </row>
    <row r="97" customFormat="false" ht="45" hidden="false" customHeight="true" outlineLevel="0" collapsed="false">
      <c r="A97" s="92" t="s">
        <v>333</v>
      </c>
      <c r="B97" s="32" t="s">
        <v>334</v>
      </c>
      <c r="C97" s="33" t="s">
        <v>93</v>
      </c>
      <c r="D97" s="32" t="s">
        <v>1099</v>
      </c>
      <c r="E97" s="32" t="s">
        <v>322</v>
      </c>
      <c r="F97" s="25" t="s">
        <v>224</v>
      </c>
      <c r="G97" s="26" t="s">
        <v>38</v>
      </c>
      <c r="H97" s="32"/>
      <c r="I97" s="32"/>
      <c r="J97" s="32"/>
      <c r="K97" s="32"/>
    </row>
    <row r="98" customFormat="false" ht="45" hidden="false" customHeight="true" outlineLevel="0" collapsed="false">
      <c r="A98" s="92" t="s">
        <v>336</v>
      </c>
      <c r="B98" s="23" t="s">
        <v>337</v>
      </c>
      <c r="C98" s="36" t="s">
        <v>93</v>
      </c>
      <c r="D98" s="23" t="s">
        <v>1099</v>
      </c>
      <c r="E98" s="23" t="s">
        <v>322</v>
      </c>
      <c r="F98" s="25" t="s">
        <v>224</v>
      </c>
      <c r="G98" s="26" t="s">
        <v>38</v>
      </c>
      <c r="H98" s="23"/>
      <c r="I98" s="23"/>
      <c r="J98" s="23"/>
      <c r="K98" s="23"/>
    </row>
    <row r="99" customFormat="false" ht="45" hidden="false" customHeight="true" outlineLevel="0" collapsed="false">
      <c r="A99" s="92" t="s">
        <v>339</v>
      </c>
      <c r="B99" s="32" t="s">
        <v>340</v>
      </c>
      <c r="C99" s="33" t="s">
        <v>93</v>
      </c>
      <c r="D99" s="32" t="s">
        <v>1099</v>
      </c>
      <c r="E99" s="32" t="s">
        <v>322</v>
      </c>
      <c r="F99" s="25" t="s">
        <v>82</v>
      </c>
      <c r="G99" s="26" t="s">
        <v>38</v>
      </c>
      <c r="H99" s="32"/>
      <c r="I99" s="32"/>
      <c r="J99" s="32"/>
      <c r="K99" s="32"/>
    </row>
    <row r="100" customFormat="false" ht="45" hidden="false" customHeight="true" outlineLevel="0" collapsed="false">
      <c r="A100" s="92" t="s">
        <v>342</v>
      </c>
      <c r="B100" s="23" t="s">
        <v>343</v>
      </c>
      <c r="C100" s="36" t="s">
        <v>93</v>
      </c>
      <c r="D100" s="23" t="s">
        <v>1099</v>
      </c>
      <c r="E100" s="23" t="s">
        <v>322</v>
      </c>
      <c r="F100" s="25" t="s">
        <v>82</v>
      </c>
      <c r="G100" s="26" t="s">
        <v>38</v>
      </c>
      <c r="H100" s="23"/>
      <c r="I100" s="23"/>
      <c r="J100" s="23"/>
      <c r="K100" s="23"/>
    </row>
    <row r="101" customFormat="false" ht="18" hidden="false" customHeight="true" outlineLevel="0" collapsed="false">
      <c r="A101" s="92" t="s">
        <v>345</v>
      </c>
      <c r="B101" s="92" t="s">
        <v>346</v>
      </c>
      <c r="C101" s="92" t="s">
        <v>93</v>
      </c>
      <c r="D101" s="92" t="s">
        <v>1099</v>
      </c>
      <c r="E101" s="92" t="s">
        <v>322</v>
      </c>
      <c r="F101" s="92" t="s">
        <v>82</v>
      </c>
      <c r="G101" s="92" t="s">
        <v>38</v>
      </c>
      <c r="H101" s="92"/>
      <c r="I101" s="92"/>
      <c r="J101" s="92"/>
      <c r="K101" s="92"/>
    </row>
    <row r="102" customFormat="false" ht="45" hidden="false" customHeight="true" outlineLevel="0" collapsed="false">
      <c r="A102" s="86" t="s">
        <v>1096</v>
      </c>
      <c r="B102" s="87"/>
      <c r="C102" s="87"/>
      <c r="D102" s="87"/>
      <c r="E102" s="87"/>
      <c r="F102" s="87"/>
      <c r="G102" s="87"/>
      <c r="H102" s="87"/>
      <c r="I102" s="87"/>
      <c r="J102" s="87"/>
      <c r="K102" s="88"/>
    </row>
    <row r="103" customFormat="false" ht="45" hidden="false" customHeight="true" outlineLevel="0" collapsed="false">
      <c r="A103" s="55" t="s">
        <v>349</v>
      </c>
      <c r="B103" s="32" t="s">
        <v>351</v>
      </c>
      <c r="C103" s="39" t="s">
        <v>79</v>
      </c>
      <c r="D103" s="32" t="s">
        <v>1097</v>
      </c>
      <c r="E103" s="32" t="s">
        <v>348</v>
      </c>
      <c r="F103" s="25" t="s">
        <v>82</v>
      </c>
      <c r="G103" s="26" t="s">
        <v>38</v>
      </c>
      <c r="H103" s="32"/>
      <c r="I103" s="32"/>
      <c r="J103" s="32"/>
      <c r="K103" s="32"/>
    </row>
    <row r="104" customFormat="false" ht="45" hidden="false" customHeight="true" outlineLevel="0" collapsed="false">
      <c r="A104" s="55" t="s">
        <v>353</v>
      </c>
      <c r="B104" s="23" t="s">
        <v>354</v>
      </c>
      <c r="C104" s="24" t="s">
        <v>79</v>
      </c>
      <c r="D104" s="23" t="s">
        <v>1097</v>
      </c>
      <c r="E104" s="23" t="s">
        <v>348</v>
      </c>
      <c r="F104" s="25" t="s">
        <v>82</v>
      </c>
      <c r="G104" s="26" t="s">
        <v>38</v>
      </c>
      <c r="H104" s="23"/>
      <c r="I104" s="23"/>
      <c r="J104" s="23"/>
      <c r="K104" s="23"/>
    </row>
    <row r="105" customFormat="false" ht="18" hidden="false" customHeight="true" outlineLevel="0" collapsed="false">
      <c r="A105" s="55" t="s">
        <v>356</v>
      </c>
      <c r="B105" s="55" t="s">
        <v>357</v>
      </c>
      <c r="C105" s="55" t="s">
        <v>79</v>
      </c>
      <c r="D105" s="55" t="s">
        <v>1097</v>
      </c>
      <c r="E105" s="55" t="s">
        <v>348</v>
      </c>
      <c r="F105" s="55" t="s">
        <v>89</v>
      </c>
      <c r="G105" s="55" t="s">
        <v>38</v>
      </c>
      <c r="H105" s="55"/>
      <c r="I105" s="55"/>
      <c r="J105" s="55"/>
      <c r="K105" s="55"/>
    </row>
    <row r="106" customFormat="false" ht="45" hidden="false" customHeight="true" outlineLevel="0" collapsed="false">
      <c r="A106" s="89" t="s">
        <v>1098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1"/>
    </row>
    <row r="107" customFormat="false" ht="45" hidden="false" customHeight="true" outlineLevel="0" collapsed="false">
      <c r="A107" s="92" t="s">
        <v>359</v>
      </c>
      <c r="B107" s="32" t="s">
        <v>360</v>
      </c>
      <c r="C107" s="33" t="s">
        <v>93</v>
      </c>
      <c r="D107" s="32" t="s">
        <v>1099</v>
      </c>
      <c r="E107" s="32" t="s">
        <v>348</v>
      </c>
      <c r="F107" s="25" t="s">
        <v>82</v>
      </c>
      <c r="G107" s="26" t="s">
        <v>38</v>
      </c>
      <c r="H107" s="32"/>
      <c r="I107" s="32"/>
      <c r="J107" s="32"/>
      <c r="K107" s="32"/>
    </row>
    <row r="108" customFormat="false" ht="45" hidden="false" customHeight="true" outlineLevel="0" collapsed="false">
      <c r="A108" s="92" t="s">
        <v>362</v>
      </c>
      <c r="B108" s="23" t="s">
        <v>363</v>
      </c>
      <c r="C108" s="36" t="s">
        <v>93</v>
      </c>
      <c r="D108" s="23" t="s">
        <v>1099</v>
      </c>
      <c r="E108" s="23" t="s">
        <v>348</v>
      </c>
      <c r="F108" s="25" t="s">
        <v>82</v>
      </c>
      <c r="G108" s="26" t="s">
        <v>38</v>
      </c>
      <c r="H108" s="23"/>
      <c r="I108" s="23"/>
      <c r="J108" s="23"/>
      <c r="K108" s="23"/>
    </row>
    <row r="109" customFormat="false" ht="45" hidden="false" customHeight="true" outlineLevel="0" collapsed="false">
      <c r="A109" s="92" t="s">
        <v>365</v>
      </c>
      <c r="B109" s="32" t="s">
        <v>366</v>
      </c>
      <c r="C109" s="33" t="s">
        <v>93</v>
      </c>
      <c r="D109" s="32" t="s">
        <v>1099</v>
      </c>
      <c r="E109" s="32" t="s">
        <v>348</v>
      </c>
      <c r="F109" s="25" t="s">
        <v>82</v>
      </c>
      <c r="G109" s="26" t="s">
        <v>38</v>
      </c>
      <c r="H109" s="32"/>
      <c r="I109" s="32"/>
      <c r="J109" s="32"/>
      <c r="K109" s="32"/>
    </row>
    <row r="110" customFormat="false" ht="45" hidden="false" customHeight="true" outlineLevel="0" collapsed="false">
      <c r="A110" s="92" t="s">
        <v>368</v>
      </c>
      <c r="B110" s="23" t="s">
        <v>369</v>
      </c>
      <c r="C110" s="36" t="s">
        <v>93</v>
      </c>
      <c r="D110" s="23" t="s">
        <v>1099</v>
      </c>
      <c r="E110" s="23" t="s">
        <v>348</v>
      </c>
      <c r="F110" s="25" t="s">
        <v>89</v>
      </c>
      <c r="G110" s="26" t="s">
        <v>38</v>
      </c>
      <c r="H110" s="23"/>
      <c r="I110" s="23"/>
      <c r="J110" s="23"/>
      <c r="K110" s="23"/>
    </row>
    <row r="111" customFormat="false" ht="45" hidden="false" customHeight="true" outlineLevel="0" collapsed="false">
      <c r="A111" s="92" t="s">
        <v>372</v>
      </c>
      <c r="B111" s="32" t="s">
        <v>373</v>
      </c>
      <c r="C111" s="33" t="s">
        <v>93</v>
      </c>
      <c r="D111" s="32" t="s">
        <v>1099</v>
      </c>
      <c r="E111" s="32" t="s">
        <v>348</v>
      </c>
      <c r="F111" s="25" t="s">
        <v>89</v>
      </c>
      <c r="G111" s="26" t="s">
        <v>38</v>
      </c>
      <c r="H111" s="32"/>
      <c r="I111" s="32"/>
      <c r="J111" s="32"/>
      <c r="K111" s="32"/>
    </row>
    <row r="112" customFormat="false" ht="45" hidden="false" customHeight="true" outlineLevel="0" collapsed="false">
      <c r="A112" s="92" t="s">
        <v>376</v>
      </c>
      <c r="B112" s="23" t="s">
        <v>377</v>
      </c>
      <c r="C112" s="36" t="s">
        <v>93</v>
      </c>
      <c r="D112" s="23" t="s">
        <v>1099</v>
      </c>
      <c r="E112" s="23" t="s">
        <v>348</v>
      </c>
      <c r="F112" s="25" t="s">
        <v>82</v>
      </c>
      <c r="G112" s="26" t="s">
        <v>38</v>
      </c>
      <c r="H112" s="23"/>
      <c r="I112" s="23"/>
      <c r="J112" s="23"/>
      <c r="K112" s="23"/>
    </row>
    <row r="113" customFormat="false" ht="45" hidden="false" customHeight="true" outlineLevel="0" collapsed="false">
      <c r="A113" s="92" t="s">
        <v>379</v>
      </c>
      <c r="B113" s="32" t="s">
        <v>380</v>
      </c>
      <c r="C113" s="33" t="s">
        <v>93</v>
      </c>
      <c r="D113" s="32" t="s">
        <v>1099</v>
      </c>
      <c r="E113" s="32" t="s">
        <v>348</v>
      </c>
      <c r="F113" s="25" t="s">
        <v>82</v>
      </c>
      <c r="G113" s="26" t="s">
        <v>38</v>
      </c>
      <c r="H113" s="32"/>
      <c r="I113" s="32"/>
      <c r="J113" s="32"/>
      <c r="K113" s="32"/>
    </row>
    <row r="114" customFormat="false" ht="45" hidden="false" customHeight="true" outlineLevel="0" collapsed="false">
      <c r="A114" s="92" t="s">
        <v>382</v>
      </c>
      <c r="B114" s="23" t="s">
        <v>383</v>
      </c>
      <c r="C114" s="36" t="s">
        <v>93</v>
      </c>
      <c r="D114" s="23" t="s">
        <v>1099</v>
      </c>
      <c r="E114" s="23" t="s">
        <v>348</v>
      </c>
      <c r="F114" s="25" t="s">
        <v>82</v>
      </c>
      <c r="G114" s="26" t="s">
        <v>38</v>
      </c>
      <c r="H114" s="23"/>
      <c r="I114" s="23"/>
      <c r="J114" s="23"/>
      <c r="K114" s="23"/>
    </row>
    <row r="115" customFormat="false" ht="45" hidden="false" customHeight="true" outlineLevel="0" collapsed="false">
      <c r="A115" s="92" t="s">
        <v>385</v>
      </c>
      <c r="B115" s="32" t="s">
        <v>386</v>
      </c>
      <c r="C115" s="33" t="s">
        <v>93</v>
      </c>
      <c r="D115" s="32" t="s">
        <v>1099</v>
      </c>
      <c r="E115" s="32" t="s">
        <v>348</v>
      </c>
      <c r="F115" s="25" t="s">
        <v>89</v>
      </c>
      <c r="G115" s="26" t="s">
        <v>38</v>
      </c>
      <c r="H115" s="32"/>
      <c r="I115" s="32"/>
      <c r="J115" s="32"/>
      <c r="K115" s="32"/>
    </row>
    <row r="116" customFormat="false" ht="45" hidden="false" customHeight="true" outlineLevel="0" collapsed="false">
      <c r="A116" s="92" t="s">
        <v>388</v>
      </c>
      <c r="B116" s="23" t="s">
        <v>389</v>
      </c>
      <c r="C116" s="36" t="s">
        <v>93</v>
      </c>
      <c r="D116" s="23" t="s">
        <v>1099</v>
      </c>
      <c r="E116" s="23" t="s">
        <v>348</v>
      </c>
      <c r="F116" s="25" t="s">
        <v>82</v>
      </c>
      <c r="G116" s="26" t="s">
        <v>38</v>
      </c>
      <c r="H116" s="23"/>
      <c r="I116" s="23"/>
      <c r="J116" s="23"/>
      <c r="K116" s="23"/>
    </row>
    <row r="117" customFormat="false" ht="45" hidden="false" customHeight="true" outlineLevel="0" collapsed="false">
      <c r="A117" s="92" t="s">
        <v>392</v>
      </c>
      <c r="B117" s="32" t="s">
        <v>393</v>
      </c>
      <c r="C117" s="33" t="s">
        <v>93</v>
      </c>
      <c r="D117" s="32" t="s">
        <v>1099</v>
      </c>
      <c r="E117" s="32" t="s">
        <v>348</v>
      </c>
      <c r="F117" s="25" t="s">
        <v>89</v>
      </c>
      <c r="G117" s="26" t="s">
        <v>38</v>
      </c>
      <c r="H117" s="32"/>
      <c r="I117" s="32"/>
      <c r="J117" s="32"/>
      <c r="K117" s="32"/>
    </row>
    <row r="118" customFormat="false" ht="45" hidden="false" customHeight="true" outlineLevel="0" collapsed="false">
      <c r="A118" s="92" t="s">
        <v>395</v>
      </c>
      <c r="B118" s="23" t="s">
        <v>396</v>
      </c>
      <c r="C118" s="36" t="s">
        <v>93</v>
      </c>
      <c r="D118" s="23" t="s">
        <v>1099</v>
      </c>
      <c r="E118" s="23" t="s">
        <v>348</v>
      </c>
      <c r="F118" s="25" t="s">
        <v>82</v>
      </c>
      <c r="G118" s="26" t="s">
        <v>38</v>
      </c>
      <c r="H118" s="23"/>
      <c r="I118" s="23"/>
      <c r="J118" s="23"/>
      <c r="K118" s="23"/>
    </row>
    <row r="119" customFormat="false" ht="45" hidden="false" customHeight="true" outlineLevel="0" collapsed="false">
      <c r="A119" s="92" t="s">
        <v>398</v>
      </c>
      <c r="B119" s="32" t="s">
        <v>399</v>
      </c>
      <c r="C119" s="33" t="s">
        <v>93</v>
      </c>
      <c r="D119" s="32" t="s">
        <v>1099</v>
      </c>
      <c r="E119" s="32" t="s">
        <v>348</v>
      </c>
      <c r="F119" s="25" t="s">
        <v>82</v>
      </c>
      <c r="G119" s="26" t="s">
        <v>38</v>
      </c>
      <c r="H119" s="32"/>
      <c r="I119" s="32"/>
      <c r="J119" s="32"/>
      <c r="K119" s="32"/>
    </row>
    <row r="120" customFormat="false" ht="18" hidden="false" customHeight="true" outlineLevel="0" collapsed="false">
      <c r="A120" s="92" t="s">
        <v>401</v>
      </c>
      <c r="B120" s="92" t="s">
        <v>402</v>
      </c>
      <c r="C120" s="92" t="s">
        <v>93</v>
      </c>
      <c r="D120" s="92" t="s">
        <v>1099</v>
      </c>
      <c r="E120" s="92" t="s">
        <v>348</v>
      </c>
      <c r="F120" s="92" t="s">
        <v>82</v>
      </c>
      <c r="G120" s="92" t="s">
        <v>38</v>
      </c>
      <c r="H120" s="92"/>
      <c r="I120" s="92"/>
      <c r="J120" s="92"/>
      <c r="K120" s="92"/>
    </row>
    <row r="121" customFormat="false" ht="45" hidden="false" customHeight="true" outlineLevel="0" collapsed="false">
      <c r="A121" s="86" t="s">
        <v>1096</v>
      </c>
      <c r="B121" s="87"/>
      <c r="C121" s="87"/>
      <c r="D121" s="87"/>
      <c r="E121" s="87"/>
      <c r="F121" s="87"/>
      <c r="G121" s="87"/>
      <c r="H121" s="87"/>
      <c r="I121" s="87"/>
      <c r="J121" s="87"/>
      <c r="K121" s="88"/>
    </row>
    <row r="122" customFormat="false" ht="45" hidden="false" customHeight="true" outlineLevel="0" collapsed="false">
      <c r="A122" s="55" t="s">
        <v>405</v>
      </c>
      <c r="B122" s="23" t="s">
        <v>407</v>
      </c>
      <c r="C122" s="24" t="s">
        <v>79</v>
      </c>
      <c r="D122" s="23" t="s">
        <v>1097</v>
      </c>
      <c r="E122" s="23" t="s">
        <v>404</v>
      </c>
      <c r="F122" s="25" t="s">
        <v>82</v>
      </c>
      <c r="G122" s="26" t="s">
        <v>38</v>
      </c>
      <c r="H122" s="23"/>
      <c r="I122" s="23"/>
      <c r="J122" s="23"/>
      <c r="K122" s="23"/>
    </row>
    <row r="123" customFormat="false" ht="45" hidden="false" customHeight="true" outlineLevel="0" collapsed="false">
      <c r="A123" s="55" t="s">
        <v>409</v>
      </c>
      <c r="B123" s="32" t="s">
        <v>410</v>
      </c>
      <c r="C123" s="39" t="s">
        <v>79</v>
      </c>
      <c r="D123" s="32" t="s">
        <v>1097</v>
      </c>
      <c r="E123" s="32" t="s">
        <v>404</v>
      </c>
      <c r="F123" s="25" t="s">
        <v>82</v>
      </c>
      <c r="G123" s="26" t="s">
        <v>38</v>
      </c>
      <c r="H123" s="32"/>
      <c r="I123" s="32"/>
      <c r="J123" s="32"/>
      <c r="K123" s="32"/>
    </row>
    <row r="124" customFormat="false" ht="18" hidden="false" customHeight="true" outlineLevel="0" collapsed="false">
      <c r="A124" s="55" t="s">
        <v>412</v>
      </c>
      <c r="B124" s="55" t="s">
        <v>413</v>
      </c>
      <c r="C124" s="55" t="s">
        <v>79</v>
      </c>
      <c r="D124" s="55" t="s">
        <v>1097</v>
      </c>
      <c r="E124" s="55" t="s">
        <v>404</v>
      </c>
      <c r="F124" s="55" t="s">
        <v>89</v>
      </c>
      <c r="G124" s="55" t="s">
        <v>38</v>
      </c>
      <c r="H124" s="55"/>
      <c r="I124" s="55"/>
      <c r="J124" s="55"/>
      <c r="K124" s="55"/>
    </row>
    <row r="125" customFormat="false" ht="45" hidden="false" customHeight="true" outlineLevel="0" collapsed="false">
      <c r="A125" s="100" t="s">
        <v>1104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2"/>
    </row>
    <row r="126" customFormat="false" ht="45" hidden="false" customHeight="true" outlineLevel="0" collapsed="false">
      <c r="A126" s="103" t="s">
        <v>415</v>
      </c>
      <c r="B126" s="23" t="s">
        <v>416</v>
      </c>
      <c r="C126" s="104" t="s">
        <v>417</v>
      </c>
      <c r="D126" s="23" t="s">
        <v>1105</v>
      </c>
      <c r="E126" s="23" t="s">
        <v>404</v>
      </c>
      <c r="F126" s="25" t="s">
        <v>82</v>
      </c>
      <c r="G126" s="26" t="s">
        <v>38</v>
      </c>
      <c r="H126" s="23"/>
      <c r="I126" s="23"/>
      <c r="J126" s="23"/>
      <c r="K126" s="23"/>
    </row>
    <row r="127" customFormat="false" ht="45" hidden="false" customHeight="true" outlineLevel="0" collapsed="false">
      <c r="A127" s="103" t="s">
        <v>419</v>
      </c>
      <c r="B127" s="32" t="s">
        <v>420</v>
      </c>
      <c r="C127" s="57" t="s">
        <v>417</v>
      </c>
      <c r="D127" s="32" t="s">
        <v>1105</v>
      </c>
      <c r="E127" s="32" t="s">
        <v>404</v>
      </c>
      <c r="F127" s="25" t="s">
        <v>82</v>
      </c>
      <c r="G127" s="26" t="s">
        <v>38</v>
      </c>
      <c r="H127" s="32"/>
      <c r="I127" s="32"/>
      <c r="J127" s="32"/>
      <c r="K127" s="32"/>
    </row>
    <row r="128" customFormat="false" ht="45" hidden="false" customHeight="true" outlineLevel="0" collapsed="false">
      <c r="A128" s="103" t="s">
        <v>422</v>
      </c>
      <c r="B128" s="23" t="s">
        <v>423</v>
      </c>
      <c r="C128" s="104" t="s">
        <v>417</v>
      </c>
      <c r="D128" s="23" t="s">
        <v>1105</v>
      </c>
      <c r="E128" s="23" t="s">
        <v>404</v>
      </c>
      <c r="F128" s="25" t="s">
        <v>82</v>
      </c>
      <c r="G128" s="26" t="s">
        <v>38</v>
      </c>
      <c r="H128" s="23"/>
      <c r="I128" s="23"/>
      <c r="J128" s="23"/>
      <c r="K128" s="23"/>
    </row>
    <row r="129" customFormat="false" ht="45" hidden="false" customHeight="true" outlineLevel="0" collapsed="false">
      <c r="A129" s="103" t="s">
        <v>426</v>
      </c>
      <c r="B129" s="32" t="s">
        <v>427</v>
      </c>
      <c r="C129" s="57" t="s">
        <v>417</v>
      </c>
      <c r="D129" s="32" t="s">
        <v>1105</v>
      </c>
      <c r="E129" s="32" t="s">
        <v>404</v>
      </c>
      <c r="F129" s="25" t="s">
        <v>82</v>
      </c>
      <c r="G129" s="26" t="s">
        <v>38</v>
      </c>
      <c r="H129" s="32"/>
      <c r="I129" s="32"/>
      <c r="J129" s="32"/>
      <c r="K129" s="32"/>
    </row>
    <row r="130" customFormat="false" ht="45" hidden="false" customHeight="true" outlineLevel="0" collapsed="false">
      <c r="A130" s="103" t="s">
        <v>430</v>
      </c>
      <c r="B130" s="23" t="s">
        <v>431</v>
      </c>
      <c r="C130" s="104" t="s">
        <v>417</v>
      </c>
      <c r="D130" s="23" t="s">
        <v>1105</v>
      </c>
      <c r="E130" s="23" t="s">
        <v>404</v>
      </c>
      <c r="F130" s="25" t="s">
        <v>82</v>
      </c>
      <c r="G130" s="26" t="s">
        <v>38</v>
      </c>
      <c r="H130" s="23"/>
      <c r="I130" s="23"/>
      <c r="J130" s="23"/>
      <c r="K130" s="23"/>
    </row>
    <row r="131" customFormat="false" ht="18" hidden="false" customHeight="true" outlineLevel="0" collapsed="false">
      <c r="A131" s="103" t="s">
        <v>433</v>
      </c>
      <c r="B131" s="103" t="s">
        <v>434</v>
      </c>
      <c r="C131" s="103" t="s">
        <v>417</v>
      </c>
      <c r="D131" s="103" t="s">
        <v>1105</v>
      </c>
      <c r="E131" s="103" t="s">
        <v>404</v>
      </c>
      <c r="F131" s="103" t="s">
        <v>82</v>
      </c>
      <c r="G131" s="103" t="s">
        <v>38</v>
      </c>
      <c r="H131" s="103"/>
      <c r="I131" s="103"/>
      <c r="J131" s="103"/>
      <c r="K131" s="103"/>
    </row>
    <row r="132" customFormat="false" ht="45" hidden="false" customHeight="true" outlineLevel="0" collapsed="false">
      <c r="A132" s="89" t="s">
        <v>1098</v>
      </c>
      <c r="B132" s="90"/>
      <c r="C132" s="90"/>
      <c r="D132" s="90"/>
      <c r="E132" s="90"/>
      <c r="F132" s="90"/>
      <c r="G132" s="90"/>
      <c r="H132" s="90"/>
      <c r="I132" s="90"/>
      <c r="J132" s="90"/>
      <c r="K132" s="91"/>
    </row>
    <row r="133" customFormat="false" ht="45" hidden="false" customHeight="true" outlineLevel="0" collapsed="false">
      <c r="A133" s="92" t="s">
        <v>436</v>
      </c>
      <c r="B133" s="32" t="s">
        <v>437</v>
      </c>
      <c r="C133" s="33" t="s">
        <v>93</v>
      </c>
      <c r="D133" s="32" t="s">
        <v>1099</v>
      </c>
      <c r="E133" s="32" t="s">
        <v>404</v>
      </c>
      <c r="F133" s="25" t="s">
        <v>82</v>
      </c>
      <c r="G133" s="26" t="s">
        <v>38</v>
      </c>
      <c r="H133" s="32"/>
      <c r="I133" s="32"/>
      <c r="J133" s="32"/>
      <c r="K133" s="32"/>
    </row>
    <row r="134" customFormat="false" ht="45" hidden="false" customHeight="true" outlineLevel="0" collapsed="false">
      <c r="A134" s="92" t="s">
        <v>439</v>
      </c>
      <c r="B134" s="23" t="s">
        <v>440</v>
      </c>
      <c r="C134" s="36" t="s">
        <v>93</v>
      </c>
      <c r="D134" s="23" t="s">
        <v>1099</v>
      </c>
      <c r="E134" s="23" t="s">
        <v>404</v>
      </c>
      <c r="F134" s="25" t="s">
        <v>82</v>
      </c>
      <c r="G134" s="26" t="s">
        <v>38</v>
      </c>
      <c r="H134" s="23"/>
      <c r="I134" s="23"/>
      <c r="J134" s="23"/>
      <c r="K134" s="23"/>
    </row>
    <row r="135" customFormat="false" ht="45" hidden="false" customHeight="true" outlineLevel="0" collapsed="false">
      <c r="A135" s="92" t="s">
        <v>442</v>
      </c>
      <c r="B135" s="32" t="s">
        <v>443</v>
      </c>
      <c r="C135" s="33" t="s">
        <v>93</v>
      </c>
      <c r="D135" s="32" t="s">
        <v>1099</v>
      </c>
      <c r="E135" s="32" t="s">
        <v>404</v>
      </c>
      <c r="F135" s="25" t="s">
        <v>82</v>
      </c>
      <c r="G135" s="26" t="s">
        <v>38</v>
      </c>
      <c r="H135" s="32"/>
      <c r="I135" s="32"/>
      <c r="J135" s="32"/>
      <c r="K135" s="32"/>
    </row>
    <row r="136" customFormat="false" ht="18" hidden="false" customHeight="true" outlineLevel="0" collapsed="false">
      <c r="A136" s="92" t="s">
        <v>445</v>
      </c>
      <c r="B136" s="92" t="s">
        <v>446</v>
      </c>
      <c r="C136" s="92" t="s">
        <v>93</v>
      </c>
      <c r="D136" s="92" t="s">
        <v>1099</v>
      </c>
      <c r="E136" s="92" t="s">
        <v>404</v>
      </c>
      <c r="F136" s="92" t="s">
        <v>82</v>
      </c>
      <c r="G136" s="92" t="s">
        <v>38</v>
      </c>
      <c r="H136" s="92"/>
      <c r="I136" s="92"/>
      <c r="J136" s="92"/>
      <c r="K136" s="92"/>
    </row>
    <row r="137" customFormat="false" ht="45" hidden="false" customHeight="true" outlineLevel="0" collapsed="false">
      <c r="A137" s="100" t="s">
        <v>1104</v>
      </c>
      <c r="B137" s="101"/>
      <c r="C137" s="101"/>
      <c r="D137" s="101"/>
      <c r="E137" s="101"/>
      <c r="F137" s="101"/>
      <c r="G137" s="101"/>
      <c r="H137" s="101"/>
      <c r="I137" s="101"/>
      <c r="J137" s="101"/>
      <c r="K137" s="102"/>
    </row>
    <row r="138" customFormat="false" ht="45" hidden="false" customHeight="true" outlineLevel="0" collapsed="false">
      <c r="A138" s="103" t="s">
        <v>449</v>
      </c>
      <c r="B138" s="23" t="s">
        <v>450</v>
      </c>
      <c r="C138" s="104" t="s">
        <v>417</v>
      </c>
      <c r="D138" s="23" t="s">
        <v>1105</v>
      </c>
      <c r="E138" s="23" t="s">
        <v>404</v>
      </c>
      <c r="F138" s="25" t="s">
        <v>82</v>
      </c>
      <c r="G138" s="26" t="s">
        <v>38</v>
      </c>
      <c r="H138" s="23"/>
      <c r="I138" s="23"/>
      <c r="J138" s="23"/>
      <c r="K138" s="23"/>
    </row>
    <row r="139" customFormat="false" ht="45" hidden="false" customHeight="true" outlineLevel="0" collapsed="false">
      <c r="A139" s="103" t="s">
        <v>452</v>
      </c>
      <c r="B139" s="32" t="s">
        <v>453</v>
      </c>
      <c r="C139" s="57" t="s">
        <v>417</v>
      </c>
      <c r="D139" s="32" t="s">
        <v>1105</v>
      </c>
      <c r="E139" s="32" t="s">
        <v>404</v>
      </c>
      <c r="F139" s="25" t="s">
        <v>82</v>
      </c>
      <c r="G139" s="26" t="s">
        <v>38</v>
      </c>
      <c r="H139" s="32"/>
      <c r="I139" s="32"/>
      <c r="J139" s="32"/>
      <c r="K139" s="32"/>
    </row>
    <row r="140" customFormat="false" ht="45" hidden="false" customHeight="true" outlineLevel="0" collapsed="false">
      <c r="A140" s="103" t="s">
        <v>456</v>
      </c>
      <c r="B140" s="23" t="s">
        <v>457</v>
      </c>
      <c r="C140" s="104" t="s">
        <v>417</v>
      </c>
      <c r="D140" s="23" t="s">
        <v>1105</v>
      </c>
      <c r="E140" s="23" t="s">
        <v>404</v>
      </c>
      <c r="F140" s="25" t="s">
        <v>82</v>
      </c>
      <c r="G140" s="26" t="s">
        <v>38</v>
      </c>
      <c r="H140" s="23"/>
      <c r="I140" s="23"/>
      <c r="J140" s="23"/>
      <c r="K140" s="23"/>
    </row>
    <row r="141" customFormat="false" ht="18" hidden="false" customHeight="true" outlineLevel="0" collapsed="false">
      <c r="A141" s="103" t="s">
        <v>459</v>
      </c>
      <c r="B141" s="103" t="s">
        <v>460</v>
      </c>
      <c r="C141" s="103" t="s">
        <v>417</v>
      </c>
      <c r="D141" s="103" t="s">
        <v>1105</v>
      </c>
      <c r="E141" s="103" t="s">
        <v>404</v>
      </c>
      <c r="F141" s="103" t="s">
        <v>82</v>
      </c>
      <c r="G141" s="103" t="s">
        <v>38</v>
      </c>
      <c r="H141" s="103"/>
      <c r="I141" s="103"/>
      <c r="J141" s="103"/>
      <c r="K141" s="103"/>
    </row>
    <row r="142" customFormat="false" ht="45" hidden="false" customHeight="true" outlineLevel="0" collapsed="false">
      <c r="A142" s="86" t="s">
        <v>1096</v>
      </c>
      <c r="B142" s="87"/>
      <c r="C142" s="87"/>
      <c r="D142" s="87"/>
      <c r="E142" s="87"/>
      <c r="F142" s="87"/>
      <c r="G142" s="87"/>
      <c r="H142" s="87"/>
      <c r="I142" s="87"/>
      <c r="J142" s="87"/>
      <c r="K142" s="88"/>
    </row>
    <row r="143" customFormat="false" ht="45" hidden="false" customHeight="true" outlineLevel="0" collapsed="false">
      <c r="A143" s="55" t="s">
        <v>462</v>
      </c>
      <c r="B143" s="32" t="s">
        <v>463</v>
      </c>
      <c r="C143" s="39" t="s">
        <v>79</v>
      </c>
      <c r="D143" s="32" t="s">
        <v>1097</v>
      </c>
      <c r="E143" s="32" t="s">
        <v>404</v>
      </c>
      <c r="F143" s="25" t="s">
        <v>82</v>
      </c>
      <c r="G143" s="26" t="s">
        <v>38</v>
      </c>
      <c r="H143" s="32"/>
      <c r="I143" s="32"/>
      <c r="J143" s="32"/>
      <c r="K143" s="32"/>
    </row>
    <row r="144" customFormat="false" ht="45" hidden="false" customHeight="true" outlineLevel="0" collapsed="false">
      <c r="A144" s="55" t="s">
        <v>465</v>
      </c>
      <c r="B144" s="23" t="s">
        <v>466</v>
      </c>
      <c r="C144" s="24" t="s">
        <v>79</v>
      </c>
      <c r="D144" s="23" t="s">
        <v>1097</v>
      </c>
      <c r="E144" s="23" t="s">
        <v>404</v>
      </c>
      <c r="F144" s="25" t="s">
        <v>82</v>
      </c>
      <c r="G144" s="26" t="s">
        <v>38</v>
      </c>
      <c r="H144" s="23"/>
      <c r="I144" s="23"/>
      <c r="J144" s="23"/>
      <c r="K144" s="23"/>
    </row>
    <row r="145" customFormat="false" ht="45" hidden="false" customHeight="true" outlineLevel="0" collapsed="false">
      <c r="A145" s="55" t="s">
        <v>468</v>
      </c>
      <c r="B145" s="32" t="s">
        <v>469</v>
      </c>
      <c r="C145" s="39" t="s">
        <v>79</v>
      </c>
      <c r="D145" s="32" t="s">
        <v>1097</v>
      </c>
      <c r="E145" s="32" t="s">
        <v>404</v>
      </c>
      <c r="F145" s="25" t="s">
        <v>82</v>
      </c>
      <c r="G145" s="26" t="s">
        <v>38</v>
      </c>
      <c r="H145" s="32"/>
      <c r="I145" s="32"/>
      <c r="J145" s="32"/>
      <c r="K145" s="32"/>
    </row>
    <row r="146" customFormat="false" ht="45" hidden="false" customHeight="true" outlineLevel="0" collapsed="false">
      <c r="A146" s="55" t="s">
        <v>472</v>
      </c>
      <c r="B146" s="23" t="s">
        <v>473</v>
      </c>
      <c r="C146" s="24" t="s">
        <v>79</v>
      </c>
      <c r="D146" s="23" t="s">
        <v>1097</v>
      </c>
      <c r="E146" s="23" t="s">
        <v>404</v>
      </c>
      <c r="F146" s="25" t="s">
        <v>82</v>
      </c>
      <c r="G146" s="26" t="s">
        <v>38</v>
      </c>
      <c r="H146" s="23"/>
      <c r="I146" s="23"/>
      <c r="J146" s="23"/>
      <c r="K146" s="23"/>
    </row>
    <row r="147" customFormat="false" ht="45" hidden="false" customHeight="true" outlineLevel="0" collapsed="false">
      <c r="A147" s="55" t="s">
        <v>475</v>
      </c>
      <c r="B147" s="32" t="s">
        <v>476</v>
      </c>
      <c r="C147" s="39" t="s">
        <v>79</v>
      </c>
      <c r="D147" s="32" t="s">
        <v>1097</v>
      </c>
      <c r="E147" s="32" t="s">
        <v>404</v>
      </c>
      <c r="F147" s="25" t="s">
        <v>82</v>
      </c>
      <c r="G147" s="26" t="s">
        <v>38</v>
      </c>
      <c r="H147" s="32"/>
      <c r="I147" s="32"/>
      <c r="J147" s="32"/>
      <c r="K147" s="32"/>
    </row>
    <row r="148" customFormat="false" ht="45" hidden="false" customHeight="true" outlineLevel="0" collapsed="false">
      <c r="A148" s="55" t="s">
        <v>478</v>
      </c>
      <c r="B148" s="23" t="s">
        <v>479</v>
      </c>
      <c r="C148" s="24" t="s">
        <v>79</v>
      </c>
      <c r="D148" s="23" t="s">
        <v>1097</v>
      </c>
      <c r="E148" s="23" t="s">
        <v>404</v>
      </c>
      <c r="F148" s="25" t="s">
        <v>224</v>
      </c>
      <c r="G148" s="26" t="s">
        <v>38</v>
      </c>
      <c r="H148" s="23"/>
      <c r="I148" s="23"/>
      <c r="J148" s="23"/>
      <c r="K148" s="23"/>
    </row>
    <row r="149" customFormat="false" ht="45" hidden="false" customHeight="true" outlineLevel="0" collapsed="false">
      <c r="A149" s="55" t="s">
        <v>481</v>
      </c>
      <c r="B149" s="32" t="s">
        <v>482</v>
      </c>
      <c r="C149" s="39" t="s">
        <v>79</v>
      </c>
      <c r="D149" s="32" t="s">
        <v>1097</v>
      </c>
      <c r="E149" s="32" t="s">
        <v>404</v>
      </c>
      <c r="F149" s="25" t="s">
        <v>82</v>
      </c>
      <c r="G149" s="26" t="s">
        <v>38</v>
      </c>
      <c r="H149" s="32"/>
      <c r="I149" s="32"/>
      <c r="J149" s="32"/>
      <c r="K149" s="32"/>
    </row>
    <row r="150" customFormat="false" ht="45" hidden="false" customHeight="true" outlineLevel="0" collapsed="false">
      <c r="A150" s="55" t="s">
        <v>485</v>
      </c>
      <c r="B150" s="23" t="s">
        <v>487</v>
      </c>
      <c r="C150" s="24" t="s">
        <v>79</v>
      </c>
      <c r="D150" s="23" t="s">
        <v>1097</v>
      </c>
      <c r="E150" s="23" t="s">
        <v>484</v>
      </c>
      <c r="F150" s="25" t="s">
        <v>82</v>
      </c>
      <c r="G150" s="26" t="s">
        <v>38</v>
      </c>
      <c r="H150" s="23"/>
      <c r="I150" s="23"/>
      <c r="J150" s="23"/>
      <c r="K150" s="23"/>
    </row>
    <row r="151" customFormat="false" ht="45" hidden="false" customHeight="true" outlineLevel="0" collapsed="false">
      <c r="A151" s="55" t="s">
        <v>489</v>
      </c>
      <c r="B151" s="32" t="s">
        <v>490</v>
      </c>
      <c r="C151" s="39" t="s">
        <v>79</v>
      </c>
      <c r="D151" s="32" t="s">
        <v>1097</v>
      </c>
      <c r="E151" s="32" t="s">
        <v>484</v>
      </c>
      <c r="F151" s="25" t="s">
        <v>82</v>
      </c>
      <c r="G151" s="26" t="s">
        <v>38</v>
      </c>
      <c r="H151" s="32"/>
      <c r="I151" s="32"/>
      <c r="J151" s="32"/>
      <c r="K151" s="32"/>
    </row>
    <row r="152" customFormat="false" ht="18" hidden="false" customHeight="true" outlineLevel="0" collapsed="false">
      <c r="A152" s="55" t="s">
        <v>492</v>
      </c>
      <c r="B152" s="55" t="s">
        <v>493</v>
      </c>
      <c r="C152" s="55" t="s">
        <v>79</v>
      </c>
      <c r="D152" s="55" t="s">
        <v>1097</v>
      </c>
      <c r="E152" s="55" t="s">
        <v>484</v>
      </c>
      <c r="F152" s="55" t="s">
        <v>89</v>
      </c>
      <c r="G152" s="55" t="s">
        <v>38</v>
      </c>
      <c r="H152" s="55"/>
      <c r="I152" s="55"/>
      <c r="J152" s="55"/>
      <c r="K152" s="55"/>
    </row>
    <row r="153" customFormat="false" ht="45" hidden="false" customHeight="true" outlineLevel="0" collapsed="false">
      <c r="A153" s="105" t="s">
        <v>1106</v>
      </c>
      <c r="B153" s="106"/>
      <c r="C153" s="106"/>
      <c r="D153" s="106"/>
      <c r="E153" s="106"/>
      <c r="F153" s="106"/>
      <c r="G153" s="106"/>
      <c r="H153" s="106"/>
      <c r="I153" s="106"/>
      <c r="J153" s="106"/>
      <c r="K153" s="107"/>
    </row>
    <row r="154" customFormat="false" ht="45" hidden="false" customHeight="true" outlineLevel="0" collapsed="false">
      <c r="A154" s="108" t="s">
        <v>495</v>
      </c>
      <c r="B154" s="23" t="s">
        <v>496</v>
      </c>
      <c r="C154" s="62" t="s">
        <v>497</v>
      </c>
      <c r="D154" s="23" t="s">
        <v>1107</v>
      </c>
      <c r="E154" s="23" t="s">
        <v>484</v>
      </c>
      <c r="F154" s="25" t="s">
        <v>82</v>
      </c>
      <c r="G154" s="26" t="s">
        <v>38</v>
      </c>
      <c r="H154" s="23"/>
      <c r="I154" s="23"/>
      <c r="J154" s="23"/>
      <c r="K154" s="23"/>
    </row>
    <row r="155" customFormat="false" ht="45" hidden="false" customHeight="true" outlineLevel="0" collapsed="false">
      <c r="A155" s="108" t="s">
        <v>499</v>
      </c>
      <c r="B155" s="32" t="s">
        <v>500</v>
      </c>
      <c r="C155" s="73" t="s">
        <v>497</v>
      </c>
      <c r="D155" s="32" t="s">
        <v>1107</v>
      </c>
      <c r="E155" s="32" t="s">
        <v>484</v>
      </c>
      <c r="F155" s="25" t="s">
        <v>82</v>
      </c>
      <c r="G155" s="26" t="s">
        <v>38</v>
      </c>
      <c r="H155" s="32"/>
      <c r="I155" s="32"/>
      <c r="J155" s="32"/>
      <c r="K155" s="32"/>
    </row>
    <row r="156" customFormat="false" ht="45" hidden="false" customHeight="true" outlineLevel="0" collapsed="false">
      <c r="A156" s="108" t="s">
        <v>502</v>
      </c>
      <c r="B156" s="23" t="s">
        <v>503</v>
      </c>
      <c r="C156" s="62" t="s">
        <v>497</v>
      </c>
      <c r="D156" s="23" t="s">
        <v>1107</v>
      </c>
      <c r="E156" s="23" t="s">
        <v>484</v>
      </c>
      <c r="F156" s="25" t="s">
        <v>82</v>
      </c>
      <c r="G156" s="26" t="s">
        <v>38</v>
      </c>
      <c r="H156" s="23"/>
      <c r="I156" s="23"/>
      <c r="J156" s="23"/>
      <c r="K156" s="23"/>
    </row>
    <row r="157" customFormat="false" ht="45" hidden="false" customHeight="true" outlineLevel="0" collapsed="false">
      <c r="A157" s="108" t="s">
        <v>505</v>
      </c>
      <c r="B157" s="32" t="s">
        <v>506</v>
      </c>
      <c r="C157" s="73" t="s">
        <v>497</v>
      </c>
      <c r="D157" s="32" t="s">
        <v>1107</v>
      </c>
      <c r="E157" s="32" t="s">
        <v>484</v>
      </c>
      <c r="F157" s="25" t="s">
        <v>82</v>
      </c>
      <c r="G157" s="26" t="s">
        <v>38</v>
      </c>
      <c r="H157" s="32"/>
      <c r="I157" s="32"/>
      <c r="J157" s="32"/>
      <c r="K157" s="32"/>
    </row>
    <row r="158" customFormat="false" ht="45" hidden="false" customHeight="true" outlineLevel="0" collapsed="false">
      <c r="A158" s="108" t="s">
        <v>509</v>
      </c>
      <c r="B158" s="23" t="s">
        <v>510</v>
      </c>
      <c r="C158" s="62" t="s">
        <v>497</v>
      </c>
      <c r="D158" s="23" t="s">
        <v>1107</v>
      </c>
      <c r="E158" s="23" t="s">
        <v>484</v>
      </c>
      <c r="F158" s="25" t="s">
        <v>82</v>
      </c>
      <c r="G158" s="26" t="s">
        <v>38</v>
      </c>
      <c r="H158" s="23"/>
      <c r="I158" s="23"/>
      <c r="J158" s="23"/>
      <c r="K158" s="23"/>
    </row>
    <row r="159" customFormat="false" ht="45" hidden="false" customHeight="true" outlineLevel="0" collapsed="false">
      <c r="A159" s="108" t="s">
        <v>512</v>
      </c>
      <c r="B159" s="32" t="s">
        <v>513</v>
      </c>
      <c r="C159" s="73" t="s">
        <v>497</v>
      </c>
      <c r="D159" s="32" t="s">
        <v>1107</v>
      </c>
      <c r="E159" s="32" t="s">
        <v>484</v>
      </c>
      <c r="F159" s="25" t="s">
        <v>82</v>
      </c>
      <c r="G159" s="26" t="s">
        <v>38</v>
      </c>
      <c r="H159" s="32"/>
      <c r="I159" s="32"/>
      <c r="J159" s="32"/>
      <c r="K159" s="32"/>
    </row>
    <row r="160" customFormat="false" ht="45" hidden="false" customHeight="true" outlineLevel="0" collapsed="false">
      <c r="A160" s="108" t="s">
        <v>515</v>
      </c>
      <c r="B160" s="23" t="s">
        <v>516</v>
      </c>
      <c r="C160" s="62" t="s">
        <v>497</v>
      </c>
      <c r="D160" s="23" t="s">
        <v>1107</v>
      </c>
      <c r="E160" s="23" t="s">
        <v>484</v>
      </c>
      <c r="F160" s="25" t="s">
        <v>82</v>
      </c>
      <c r="G160" s="26" t="s">
        <v>38</v>
      </c>
      <c r="H160" s="23"/>
      <c r="I160" s="23"/>
      <c r="J160" s="23"/>
      <c r="K160" s="23"/>
    </row>
    <row r="161" customFormat="false" ht="45" hidden="false" customHeight="true" outlineLevel="0" collapsed="false">
      <c r="A161" s="108" t="s">
        <v>518</v>
      </c>
      <c r="B161" s="32" t="s">
        <v>519</v>
      </c>
      <c r="C161" s="73" t="s">
        <v>497</v>
      </c>
      <c r="D161" s="32" t="s">
        <v>1107</v>
      </c>
      <c r="E161" s="32" t="s">
        <v>484</v>
      </c>
      <c r="F161" s="25" t="s">
        <v>82</v>
      </c>
      <c r="G161" s="26" t="s">
        <v>38</v>
      </c>
      <c r="H161" s="32"/>
      <c r="I161" s="32"/>
      <c r="J161" s="32"/>
      <c r="K161" s="32"/>
    </row>
    <row r="162" customFormat="false" ht="45" hidden="false" customHeight="true" outlineLevel="0" collapsed="false">
      <c r="A162" s="108" t="s">
        <v>521</v>
      </c>
      <c r="B162" s="23" t="s">
        <v>522</v>
      </c>
      <c r="C162" s="62" t="s">
        <v>497</v>
      </c>
      <c r="D162" s="23" t="s">
        <v>1107</v>
      </c>
      <c r="E162" s="23" t="s">
        <v>484</v>
      </c>
      <c r="F162" s="25" t="s">
        <v>82</v>
      </c>
      <c r="G162" s="26" t="s">
        <v>38</v>
      </c>
      <c r="H162" s="23"/>
      <c r="I162" s="23"/>
      <c r="J162" s="23"/>
      <c r="K162" s="23"/>
    </row>
    <row r="163" customFormat="false" ht="45" hidden="false" customHeight="true" outlineLevel="0" collapsed="false">
      <c r="A163" s="108" t="s">
        <v>524</v>
      </c>
      <c r="B163" s="32" t="s">
        <v>525</v>
      </c>
      <c r="C163" s="73" t="s">
        <v>497</v>
      </c>
      <c r="D163" s="32" t="s">
        <v>1107</v>
      </c>
      <c r="E163" s="32" t="s">
        <v>484</v>
      </c>
      <c r="F163" s="25" t="s">
        <v>82</v>
      </c>
      <c r="G163" s="26" t="s">
        <v>38</v>
      </c>
      <c r="H163" s="32"/>
      <c r="I163" s="32"/>
      <c r="J163" s="32"/>
      <c r="K163" s="32"/>
    </row>
    <row r="164" customFormat="false" ht="45" hidden="false" customHeight="true" outlineLevel="0" collapsed="false">
      <c r="A164" s="108" t="s">
        <v>527</v>
      </c>
      <c r="B164" s="23" t="s">
        <v>528</v>
      </c>
      <c r="C164" s="62" t="s">
        <v>497</v>
      </c>
      <c r="D164" s="23" t="s">
        <v>1107</v>
      </c>
      <c r="E164" s="23" t="s">
        <v>484</v>
      </c>
      <c r="F164" s="25" t="s">
        <v>82</v>
      </c>
      <c r="G164" s="26" t="s">
        <v>38</v>
      </c>
      <c r="H164" s="23"/>
      <c r="I164" s="23"/>
      <c r="J164" s="23"/>
      <c r="K164" s="23"/>
    </row>
    <row r="165" customFormat="false" ht="18" hidden="false" customHeight="true" outlineLevel="0" collapsed="false">
      <c r="A165" s="108" t="s">
        <v>530</v>
      </c>
      <c r="B165" s="108" t="s">
        <v>531</v>
      </c>
      <c r="C165" s="108" t="s">
        <v>497</v>
      </c>
      <c r="D165" s="108" t="s">
        <v>1107</v>
      </c>
      <c r="E165" s="108" t="s">
        <v>484</v>
      </c>
      <c r="F165" s="108" t="s">
        <v>82</v>
      </c>
      <c r="G165" s="108" t="s">
        <v>38</v>
      </c>
      <c r="H165" s="108"/>
      <c r="I165" s="108"/>
      <c r="J165" s="108"/>
      <c r="K165" s="108"/>
    </row>
    <row r="166" customFormat="false" ht="45" hidden="false" customHeight="true" outlineLevel="0" collapsed="false">
      <c r="A166" s="86" t="s">
        <v>1096</v>
      </c>
      <c r="B166" s="87"/>
      <c r="C166" s="87"/>
      <c r="D166" s="87"/>
      <c r="E166" s="87"/>
      <c r="F166" s="87"/>
      <c r="G166" s="87"/>
      <c r="H166" s="87"/>
      <c r="I166" s="87"/>
      <c r="J166" s="87"/>
      <c r="K166" s="88"/>
    </row>
    <row r="167" customFormat="false" ht="45" hidden="false" customHeight="true" outlineLevel="0" collapsed="false">
      <c r="A167" s="55" t="s">
        <v>534</v>
      </c>
      <c r="B167" s="32" t="s">
        <v>536</v>
      </c>
      <c r="C167" s="39" t="s">
        <v>79</v>
      </c>
      <c r="D167" s="32" t="s">
        <v>1097</v>
      </c>
      <c r="E167" s="32" t="s">
        <v>533</v>
      </c>
      <c r="F167" s="25" t="s">
        <v>82</v>
      </c>
      <c r="G167" s="26" t="s">
        <v>38</v>
      </c>
      <c r="H167" s="32"/>
      <c r="I167" s="32"/>
      <c r="J167" s="32"/>
      <c r="K167" s="32"/>
    </row>
    <row r="168" customFormat="false" ht="45" hidden="false" customHeight="true" outlineLevel="0" collapsed="false">
      <c r="A168" s="55" t="s">
        <v>538</v>
      </c>
      <c r="B168" s="23" t="s">
        <v>539</v>
      </c>
      <c r="C168" s="24" t="s">
        <v>79</v>
      </c>
      <c r="D168" s="23" t="s">
        <v>1097</v>
      </c>
      <c r="E168" s="23" t="s">
        <v>533</v>
      </c>
      <c r="F168" s="25" t="s">
        <v>82</v>
      </c>
      <c r="G168" s="26" t="s">
        <v>38</v>
      </c>
      <c r="H168" s="23"/>
      <c r="I168" s="23"/>
      <c r="J168" s="23"/>
      <c r="K168" s="23"/>
    </row>
    <row r="169" customFormat="false" ht="18" hidden="false" customHeight="true" outlineLevel="0" collapsed="false">
      <c r="A169" s="55" t="s">
        <v>541</v>
      </c>
      <c r="B169" s="55" t="s">
        <v>542</v>
      </c>
      <c r="C169" s="55" t="s">
        <v>79</v>
      </c>
      <c r="D169" s="55" t="s">
        <v>1097</v>
      </c>
      <c r="E169" s="55" t="s">
        <v>533</v>
      </c>
      <c r="F169" s="55" t="s">
        <v>89</v>
      </c>
      <c r="G169" s="55" t="s">
        <v>38</v>
      </c>
      <c r="H169" s="55"/>
      <c r="I169" s="55"/>
      <c r="J169" s="55"/>
      <c r="K169" s="55"/>
    </row>
    <row r="170" customFormat="false" ht="45" hidden="false" customHeight="true" outlineLevel="0" collapsed="false">
      <c r="A170" s="89" t="s">
        <v>1098</v>
      </c>
      <c r="B170" s="90"/>
      <c r="C170" s="90"/>
      <c r="D170" s="90"/>
      <c r="E170" s="90"/>
      <c r="F170" s="90"/>
      <c r="G170" s="90"/>
      <c r="H170" s="90"/>
      <c r="I170" s="90"/>
      <c r="J170" s="90"/>
      <c r="K170" s="91"/>
    </row>
    <row r="171" customFormat="false" ht="45" hidden="false" customHeight="true" outlineLevel="0" collapsed="false">
      <c r="A171" s="92" t="s">
        <v>544</v>
      </c>
      <c r="B171" s="32" t="s">
        <v>545</v>
      </c>
      <c r="C171" s="33" t="s">
        <v>93</v>
      </c>
      <c r="D171" s="32" t="s">
        <v>1099</v>
      </c>
      <c r="E171" s="32" t="s">
        <v>533</v>
      </c>
      <c r="F171" s="25" t="s">
        <v>82</v>
      </c>
      <c r="G171" s="26" t="s">
        <v>38</v>
      </c>
      <c r="H171" s="32"/>
      <c r="I171" s="32"/>
      <c r="J171" s="32"/>
      <c r="K171" s="32"/>
    </row>
    <row r="172" customFormat="false" ht="45" hidden="false" customHeight="true" outlineLevel="0" collapsed="false">
      <c r="A172" s="92" t="s">
        <v>547</v>
      </c>
      <c r="B172" s="23" t="s">
        <v>548</v>
      </c>
      <c r="C172" s="36" t="s">
        <v>93</v>
      </c>
      <c r="D172" s="23" t="s">
        <v>1099</v>
      </c>
      <c r="E172" s="23" t="s">
        <v>533</v>
      </c>
      <c r="F172" s="25" t="s">
        <v>82</v>
      </c>
      <c r="G172" s="26" t="s">
        <v>38</v>
      </c>
      <c r="H172" s="23"/>
      <c r="I172" s="23"/>
      <c r="J172" s="23"/>
      <c r="K172" s="23"/>
    </row>
    <row r="173" customFormat="false" ht="45" hidden="false" customHeight="true" outlineLevel="0" collapsed="false">
      <c r="A173" s="92" t="s">
        <v>550</v>
      </c>
      <c r="B173" s="32" t="s">
        <v>551</v>
      </c>
      <c r="C173" s="33" t="s">
        <v>93</v>
      </c>
      <c r="D173" s="32" t="s">
        <v>1099</v>
      </c>
      <c r="E173" s="32" t="s">
        <v>533</v>
      </c>
      <c r="F173" s="25" t="s">
        <v>82</v>
      </c>
      <c r="G173" s="26" t="s">
        <v>38</v>
      </c>
      <c r="H173" s="32"/>
      <c r="I173" s="32"/>
      <c r="J173" s="32"/>
      <c r="K173" s="32"/>
    </row>
    <row r="174" customFormat="false" ht="45" hidden="false" customHeight="true" outlineLevel="0" collapsed="false">
      <c r="A174" s="92" t="s">
        <v>554</v>
      </c>
      <c r="B174" s="23" t="s">
        <v>555</v>
      </c>
      <c r="C174" s="36" t="s">
        <v>93</v>
      </c>
      <c r="D174" s="23" t="s">
        <v>1099</v>
      </c>
      <c r="E174" s="23" t="s">
        <v>533</v>
      </c>
      <c r="F174" s="25" t="s">
        <v>82</v>
      </c>
      <c r="G174" s="26" t="s">
        <v>38</v>
      </c>
      <c r="H174" s="23"/>
      <c r="I174" s="23"/>
      <c r="J174" s="23"/>
      <c r="K174" s="23"/>
    </row>
    <row r="175" customFormat="false" ht="45" hidden="false" customHeight="true" outlineLevel="0" collapsed="false">
      <c r="A175" s="92" t="s">
        <v>557</v>
      </c>
      <c r="B175" s="32" t="s">
        <v>558</v>
      </c>
      <c r="C175" s="33" t="s">
        <v>93</v>
      </c>
      <c r="D175" s="32" t="s">
        <v>1099</v>
      </c>
      <c r="E175" s="32" t="s">
        <v>533</v>
      </c>
      <c r="F175" s="25" t="s">
        <v>82</v>
      </c>
      <c r="G175" s="26" t="s">
        <v>38</v>
      </c>
      <c r="H175" s="32"/>
      <c r="I175" s="32"/>
      <c r="J175" s="32"/>
      <c r="K175" s="32"/>
    </row>
    <row r="176" customFormat="false" ht="45" hidden="false" customHeight="true" outlineLevel="0" collapsed="false">
      <c r="A176" s="92" t="s">
        <v>560</v>
      </c>
      <c r="B176" s="23" t="s">
        <v>561</v>
      </c>
      <c r="C176" s="36" t="s">
        <v>93</v>
      </c>
      <c r="D176" s="23" t="s">
        <v>1099</v>
      </c>
      <c r="E176" s="23" t="s">
        <v>533</v>
      </c>
      <c r="F176" s="25" t="s">
        <v>82</v>
      </c>
      <c r="G176" s="26" t="s">
        <v>38</v>
      </c>
      <c r="H176" s="23"/>
      <c r="I176" s="23"/>
      <c r="J176" s="23"/>
      <c r="K176" s="23"/>
    </row>
    <row r="177" customFormat="false" ht="45" hidden="false" customHeight="true" outlineLevel="0" collapsed="false">
      <c r="A177" s="92" t="s">
        <v>564</v>
      </c>
      <c r="B177" s="32" t="s">
        <v>565</v>
      </c>
      <c r="C177" s="33" t="s">
        <v>93</v>
      </c>
      <c r="D177" s="32" t="s">
        <v>1099</v>
      </c>
      <c r="E177" s="32" t="s">
        <v>533</v>
      </c>
      <c r="F177" s="25" t="s">
        <v>82</v>
      </c>
      <c r="G177" s="26" t="s">
        <v>38</v>
      </c>
      <c r="H177" s="32"/>
      <c r="I177" s="32"/>
      <c r="J177" s="32"/>
      <c r="K177" s="32"/>
    </row>
    <row r="178" customFormat="false" ht="45" hidden="false" customHeight="true" outlineLevel="0" collapsed="false">
      <c r="A178" s="92" t="s">
        <v>567</v>
      </c>
      <c r="B178" s="23" t="s">
        <v>568</v>
      </c>
      <c r="C178" s="36" t="s">
        <v>93</v>
      </c>
      <c r="D178" s="23" t="s">
        <v>1099</v>
      </c>
      <c r="E178" s="23" t="s">
        <v>533</v>
      </c>
      <c r="F178" s="25" t="s">
        <v>82</v>
      </c>
      <c r="G178" s="26" t="s">
        <v>38</v>
      </c>
      <c r="H178" s="23"/>
      <c r="I178" s="23"/>
      <c r="J178" s="23"/>
      <c r="K178" s="23"/>
    </row>
    <row r="179" customFormat="false" ht="45" hidden="false" customHeight="true" outlineLevel="0" collapsed="false">
      <c r="A179" s="92" t="s">
        <v>570</v>
      </c>
      <c r="B179" s="32" t="s">
        <v>571</v>
      </c>
      <c r="C179" s="33" t="s">
        <v>93</v>
      </c>
      <c r="D179" s="32" t="s">
        <v>1099</v>
      </c>
      <c r="E179" s="32" t="s">
        <v>533</v>
      </c>
      <c r="F179" s="25" t="s">
        <v>89</v>
      </c>
      <c r="G179" s="26" t="s">
        <v>38</v>
      </c>
      <c r="H179" s="32"/>
      <c r="I179" s="32"/>
      <c r="J179" s="32"/>
      <c r="K179" s="32"/>
    </row>
    <row r="180" customFormat="false" ht="45" hidden="false" customHeight="true" outlineLevel="0" collapsed="false">
      <c r="A180" s="92" t="s">
        <v>573</v>
      </c>
      <c r="B180" s="23" t="s">
        <v>574</v>
      </c>
      <c r="C180" s="36" t="s">
        <v>93</v>
      </c>
      <c r="D180" s="23" t="s">
        <v>1099</v>
      </c>
      <c r="E180" s="23" t="s">
        <v>533</v>
      </c>
      <c r="F180" s="25" t="s">
        <v>82</v>
      </c>
      <c r="G180" s="26" t="s">
        <v>38</v>
      </c>
      <c r="H180" s="23"/>
      <c r="I180" s="23"/>
      <c r="J180" s="23"/>
      <c r="K180" s="23"/>
    </row>
    <row r="181" customFormat="false" ht="45" hidden="false" customHeight="true" outlineLevel="0" collapsed="false">
      <c r="A181" s="92" t="s">
        <v>576</v>
      </c>
      <c r="B181" s="32" t="s">
        <v>577</v>
      </c>
      <c r="C181" s="33" t="s">
        <v>93</v>
      </c>
      <c r="D181" s="32" t="s">
        <v>1099</v>
      </c>
      <c r="E181" s="32" t="s">
        <v>533</v>
      </c>
      <c r="F181" s="25" t="s">
        <v>82</v>
      </c>
      <c r="G181" s="26" t="s">
        <v>38</v>
      </c>
      <c r="H181" s="32"/>
      <c r="I181" s="32"/>
      <c r="J181" s="32"/>
      <c r="K181" s="32"/>
    </row>
    <row r="182" customFormat="false" ht="45" hidden="false" customHeight="true" outlineLevel="0" collapsed="false">
      <c r="A182" s="92" t="s">
        <v>579</v>
      </c>
      <c r="B182" s="23" t="s">
        <v>580</v>
      </c>
      <c r="C182" s="36" t="s">
        <v>93</v>
      </c>
      <c r="D182" s="23" t="s">
        <v>1099</v>
      </c>
      <c r="E182" s="23" t="s">
        <v>533</v>
      </c>
      <c r="F182" s="25" t="s">
        <v>82</v>
      </c>
      <c r="G182" s="26" t="s">
        <v>38</v>
      </c>
      <c r="H182" s="23"/>
      <c r="I182" s="23"/>
      <c r="J182" s="23"/>
      <c r="K182" s="23"/>
    </row>
    <row r="183" customFormat="false" ht="45" hidden="false" customHeight="true" outlineLevel="0" collapsed="false">
      <c r="A183" s="92" t="s">
        <v>582</v>
      </c>
      <c r="B183" s="32" t="s">
        <v>583</v>
      </c>
      <c r="C183" s="33" t="s">
        <v>93</v>
      </c>
      <c r="D183" s="32" t="s">
        <v>1099</v>
      </c>
      <c r="E183" s="32" t="s">
        <v>533</v>
      </c>
      <c r="F183" s="25" t="s">
        <v>82</v>
      </c>
      <c r="G183" s="26" t="s">
        <v>38</v>
      </c>
      <c r="H183" s="32"/>
      <c r="I183" s="32"/>
      <c r="J183" s="32"/>
      <c r="K183" s="32"/>
    </row>
    <row r="184" customFormat="false" ht="45" hidden="false" customHeight="true" outlineLevel="0" collapsed="false">
      <c r="A184" s="92" t="s">
        <v>585</v>
      </c>
      <c r="B184" s="23" t="s">
        <v>586</v>
      </c>
      <c r="C184" s="36" t="s">
        <v>93</v>
      </c>
      <c r="D184" s="23" t="s">
        <v>1099</v>
      </c>
      <c r="E184" s="23" t="s">
        <v>533</v>
      </c>
      <c r="F184" s="25" t="s">
        <v>82</v>
      </c>
      <c r="G184" s="26" t="s">
        <v>38</v>
      </c>
      <c r="H184" s="23"/>
      <c r="I184" s="23"/>
      <c r="J184" s="23"/>
      <c r="K184" s="23"/>
    </row>
    <row r="185" customFormat="false" ht="45" hidden="false" customHeight="true" outlineLevel="0" collapsed="false">
      <c r="A185" s="92" t="s">
        <v>588</v>
      </c>
      <c r="B185" s="32" t="s">
        <v>589</v>
      </c>
      <c r="C185" s="33" t="s">
        <v>93</v>
      </c>
      <c r="D185" s="32" t="s">
        <v>1099</v>
      </c>
      <c r="E185" s="32" t="s">
        <v>533</v>
      </c>
      <c r="F185" s="25" t="s">
        <v>82</v>
      </c>
      <c r="G185" s="26" t="s">
        <v>38</v>
      </c>
      <c r="H185" s="32"/>
      <c r="I185" s="32"/>
      <c r="J185" s="32"/>
      <c r="K185" s="32"/>
    </row>
    <row r="186" customFormat="false" ht="45" hidden="false" customHeight="true" outlineLevel="0" collapsed="false">
      <c r="A186" s="92" t="s">
        <v>592</v>
      </c>
      <c r="B186" s="23" t="s">
        <v>593</v>
      </c>
      <c r="C186" s="36" t="s">
        <v>93</v>
      </c>
      <c r="D186" s="23" t="s">
        <v>1099</v>
      </c>
      <c r="E186" s="23" t="s">
        <v>533</v>
      </c>
      <c r="F186" s="25" t="s">
        <v>82</v>
      </c>
      <c r="G186" s="26" t="s">
        <v>38</v>
      </c>
      <c r="H186" s="23"/>
      <c r="I186" s="23"/>
      <c r="J186" s="23"/>
      <c r="K186" s="23"/>
    </row>
    <row r="187" customFormat="false" ht="45" hidden="false" customHeight="true" outlineLevel="0" collapsed="false">
      <c r="A187" s="92" t="s">
        <v>595</v>
      </c>
      <c r="B187" s="32" t="s">
        <v>596</v>
      </c>
      <c r="C187" s="33" t="s">
        <v>93</v>
      </c>
      <c r="D187" s="32" t="s">
        <v>1099</v>
      </c>
      <c r="E187" s="32" t="s">
        <v>533</v>
      </c>
      <c r="F187" s="25" t="s">
        <v>89</v>
      </c>
      <c r="G187" s="26" t="s">
        <v>38</v>
      </c>
      <c r="H187" s="32"/>
      <c r="I187" s="32"/>
      <c r="J187" s="32"/>
      <c r="K187" s="32"/>
    </row>
    <row r="188" customFormat="false" ht="45" hidden="false" customHeight="true" outlineLevel="0" collapsed="false">
      <c r="A188" s="92" t="s">
        <v>598</v>
      </c>
      <c r="B188" s="23" t="s">
        <v>599</v>
      </c>
      <c r="C188" s="36" t="s">
        <v>93</v>
      </c>
      <c r="D188" s="23" t="s">
        <v>1099</v>
      </c>
      <c r="E188" s="23" t="s">
        <v>533</v>
      </c>
      <c r="F188" s="25" t="s">
        <v>89</v>
      </c>
      <c r="G188" s="26" t="s">
        <v>38</v>
      </c>
      <c r="H188" s="23"/>
      <c r="I188" s="23"/>
      <c r="J188" s="23"/>
      <c r="K188" s="23"/>
    </row>
    <row r="189" customFormat="false" ht="45" hidden="false" customHeight="true" outlineLevel="0" collapsed="false">
      <c r="A189" s="92" t="s">
        <v>601</v>
      </c>
      <c r="B189" s="32" t="s">
        <v>602</v>
      </c>
      <c r="C189" s="33" t="s">
        <v>93</v>
      </c>
      <c r="D189" s="32" t="s">
        <v>1099</v>
      </c>
      <c r="E189" s="32" t="s">
        <v>533</v>
      </c>
      <c r="F189" s="25" t="s">
        <v>82</v>
      </c>
      <c r="G189" s="26" t="s">
        <v>38</v>
      </c>
      <c r="H189" s="32"/>
      <c r="I189" s="32"/>
      <c r="J189" s="32"/>
      <c r="K189" s="32"/>
    </row>
    <row r="190" customFormat="false" ht="45" hidden="false" customHeight="true" outlineLevel="0" collapsed="false">
      <c r="A190" s="92" t="s">
        <v>605</v>
      </c>
      <c r="B190" s="23" t="s">
        <v>606</v>
      </c>
      <c r="C190" s="36" t="s">
        <v>93</v>
      </c>
      <c r="D190" s="23" t="s">
        <v>1099</v>
      </c>
      <c r="E190" s="23" t="s">
        <v>533</v>
      </c>
      <c r="F190" s="25" t="s">
        <v>89</v>
      </c>
      <c r="G190" s="26" t="s">
        <v>38</v>
      </c>
      <c r="H190" s="23"/>
      <c r="I190" s="23"/>
      <c r="J190" s="23"/>
      <c r="K190" s="23"/>
    </row>
    <row r="191" customFormat="false" ht="18" hidden="false" customHeight="true" outlineLevel="0" collapsed="false">
      <c r="A191" s="92" t="s">
        <v>608</v>
      </c>
      <c r="B191" s="92" t="s">
        <v>609</v>
      </c>
      <c r="C191" s="92" t="s">
        <v>93</v>
      </c>
      <c r="D191" s="92" t="s">
        <v>1099</v>
      </c>
      <c r="E191" s="92" t="s">
        <v>533</v>
      </c>
      <c r="F191" s="92" t="s">
        <v>89</v>
      </c>
      <c r="G191" s="92" t="s">
        <v>38</v>
      </c>
      <c r="H191" s="92"/>
      <c r="I191" s="92"/>
      <c r="J191" s="92"/>
      <c r="K191" s="92"/>
    </row>
    <row r="192" customFormat="false" ht="45" hidden="false" customHeight="true" outlineLevel="0" collapsed="false">
      <c r="A192" s="105" t="s">
        <v>1106</v>
      </c>
      <c r="B192" s="106"/>
      <c r="C192" s="106"/>
      <c r="D192" s="106"/>
      <c r="E192" s="106"/>
      <c r="F192" s="106"/>
      <c r="G192" s="106"/>
      <c r="H192" s="106"/>
      <c r="I192" s="106"/>
      <c r="J192" s="106"/>
      <c r="K192" s="107"/>
    </row>
    <row r="193" customFormat="false" ht="18" hidden="false" customHeight="true" outlineLevel="0" collapsed="false">
      <c r="A193" s="108" t="s">
        <v>611</v>
      </c>
      <c r="B193" s="108" t="s">
        <v>612</v>
      </c>
      <c r="C193" s="108" t="s">
        <v>497</v>
      </c>
      <c r="D193" s="108" t="s">
        <v>1107</v>
      </c>
      <c r="E193" s="108" t="s">
        <v>533</v>
      </c>
      <c r="F193" s="108" t="s">
        <v>82</v>
      </c>
      <c r="G193" s="108" t="s">
        <v>38</v>
      </c>
      <c r="H193" s="108"/>
      <c r="I193" s="108"/>
      <c r="J193" s="108"/>
      <c r="K193" s="108"/>
    </row>
    <row r="194" customFormat="false" ht="45" hidden="false" customHeight="true" outlineLevel="0" collapsed="false">
      <c r="A194" s="89" t="s">
        <v>1098</v>
      </c>
      <c r="B194" s="90"/>
      <c r="C194" s="90"/>
      <c r="D194" s="90"/>
      <c r="E194" s="90"/>
      <c r="F194" s="90"/>
      <c r="G194" s="90"/>
      <c r="H194" s="90"/>
      <c r="I194" s="90"/>
      <c r="J194" s="90"/>
      <c r="K194" s="91"/>
    </row>
    <row r="195" customFormat="false" ht="45" hidden="false" customHeight="true" outlineLevel="0" collapsed="false">
      <c r="A195" s="92" t="s">
        <v>614</v>
      </c>
      <c r="B195" s="32" t="s">
        <v>615</v>
      </c>
      <c r="C195" s="33" t="s">
        <v>93</v>
      </c>
      <c r="D195" s="32" t="s">
        <v>1099</v>
      </c>
      <c r="E195" s="32" t="s">
        <v>533</v>
      </c>
      <c r="F195" s="25" t="s">
        <v>82</v>
      </c>
      <c r="G195" s="26" t="s">
        <v>38</v>
      </c>
      <c r="H195" s="32"/>
      <c r="I195" s="32"/>
      <c r="J195" s="32"/>
      <c r="K195" s="32"/>
    </row>
    <row r="196" customFormat="false" ht="45" hidden="false" customHeight="true" outlineLevel="0" collapsed="false">
      <c r="A196" s="92" t="s">
        <v>617</v>
      </c>
      <c r="B196" s="23" t="s">
        <v>618</v>
      </c>
      <c r="C196" s="36" t="s">
        <v>93</v>
      </c>
      <c r="D196" s="23" t="s">
        <v>1099</v>
      </c>
      <c r="E196" s="23" t="s">
        <v>533</v>
      </c>
      <c r="F196" s="25" t="s">
        <v>82</v>
      </c>
      <c r="G196" s="26" t="s">
        <v>38</v>
      </c>
      <c r="H196" s="23"/>
      <c r="I196" s="23"/>
      <c r="J196" s="23"/>
      <c r="K196" s="23"/>
    </row>
    <row r="197" customFormat="false" ht="45" hidden="false" customHeight="true" outlineLevel="0" collapsed="false">
      <c r="A197" s="92" t="s">
        <v>620</v>
      </c>
      <c r="B197" s="32" t="s">
        <v>621</v>
      </c>
      <c r="C197" s="33" t="s">
        <v>93</v>
      </c>
      <c r="D197" s="32" t="s">
        <v>1099</v>
      </c>
      <c r="E197" s="32" t="s">
        <v>533</v>
      </c>
      <c r="F197" s="25" t="s">
        <v>82</v>
      </c>
      <c r="G197" s="26" t="s">
        <v>38</v>
      </c>
      <c r="H197" s="32"/>
      <c r="I197" s="32"/>
      <c r="J197" s="32"/>
      <c r="K197" s="32"/>
    </row>
    <row r="198" customFormat="false" ht="45" hidden="false" customHeight="true" outlineLevel="0" collapsed="false">
      <c r="A198" s="92" t="s">
        <v>623</v>
      </c>
      <c r="B198" s="23" t="s">
        <v>624</v>
      </c>
      <c r="C198" s="36" t="s">
        <v>93</v>
      </c>
      <c r="D198" s="23" t="s">
        <v>1099</v>
      </c>
      <c r="E198" s="23" t="s">
        <v>533</v>
      </c>
      <c r="F198" s="25" t="s">
        <v>82</v>
      </c>
      <c r="G198" s="26" t="s">
        <v>38</v>
      </c>
      <c r="H198" s="23"/>
      <c r="I198" s="23"/>
      <c r="J198" s="23"/>
      <c r="K198" s="23"/>
    </row>
    <row r="199" customFormat="false" ht="45" hidden="false" customHeight="true" outlineLevel="0" collapsed="false">
      <c r="A199" s="92" t="s">
        <v>626</v>
      </c>
      <c r="B199" s="32" t="s">
        <v>627</v>
      </c>
      <c r="C199" s="33" t="s">
        <v>93</v>
      </c>
      <c r="D199" s="32" t="s">
        <v>1099</v>
      </c>
      <c r="E199" s="32" t="s">
        <v>533</v>
      </c>
      <c r="F199" s="25" t="s">
        <v>82</v>
      </c>
      <c r="G199" s="26" t="s">
        <v>38</v>
      </c>
      <c r="H199" s="32"/>
      <c r="I199" s="32"/>
      <c r="J199" s="32"/>
      <c r="K199" s="32"/>
    </row>
    <row r="200" customFormat="false" ht="18" hidden="false" customHeight="true" outlineLevel="0" collapsed="false">
      <c r="A200" s="92" t="s">
        <v>629</v>
      </c>
      <c r="B200" s="92" t="s">
        <v>630</v>
      </c>
      <c r="C200" s="92" t="s">
        <v>93</v>
      </c>
      <c r="D200" s="92" t="s">
        <v>1099</v>
      </c>
      <c r="E200" s="92" t="s">
        <v>533</v>
      </c>
      <c r="F200" s="92" t="s">
        <v>82</v>
      </c>
      <c r="G200" s="92" t="s">
        <v>38</v>
      </c>
      <c r="H200" s="92"/>
      <c r="I200" s="92"/>
      <c r="J200" s="92"/>
      <c r="K200" s="92"/>
    </row>
    <row r="201" customFormat="false" ht="45" hidden="false" customHeight="true" outlineLevel="0" collapsed="false">
      <c r="A201" s="105" t="s">
        <v>1106</v>
      </c>
      <c r="B201" s="106"/>
      <c r="C201" s="106"/>
      <c r="D201" s="106"/>
      <c r="E201" s="106"/>
      <c r="F201" s="106"/>
      <c r="G201" s="106"/>
      <c r="H201" s="106"/>
      <c r="I201" s="106"/>
      <c r="J201" s="106"/>
      <c r="K201" s="107"/>
    </row>
    <row r="202" customFormat="false" ht="45" hidden="false" customHeight="true" outlineLevel="0" collapsed="false">
      <c r="A202" s="108" t="s">
        <v>632</v>
      </c>
      <c r="B202" s="23" t="s">
        <v>633</v>
      </c>
      <c r="C202" s="62" t="s">
        <v>497</v>
      </c>
      <c r="D202" s="23" t="s">
        <v>1107</v>
      </c>
      <c r="E202" s="23" t="s">
        <v>533</v>
      </c>
      <c r="F202" s="25" t="s">
        <v>82</v>
      </c>
      <c r="G202" s="26" t="s">
        <v>38</v>
      </c>
      <c r="H202" s="23"/>
      <c r="I202" s="23"/>
      <c r="J202" s="23"/>
      <c r="K202" s="23"/>
    </row>
    <row r="203" customFormat="false" ht="45" hidden="false" customHeight="true" outlineLevel="0" collapsed="false">
      <c r="A203" s="108" t="s">
        <v>635</v>
      </c>
      <c r="B203" s="32" t="s">
        <v>636</v>
      </c>
      <c r="C203" s="73" t="s">
        <v>497</v>
      </c>
      <c r="D203" s="32" t="s">
        <v>1107</v>
      </c>
      <c r="E203" s="32" t="s">
        <v>533</v>
      </c>
      <c r="F203" s="25" t="s">
        <v>82</v>
      </c>
      <c r="G203" s="26" t="s">
        <v>38</v>
      </c>
      <c r="H203" s="32"/>
      <c r="I203" s="32"/>
      <c r="J203" s="32"/>
      <c r="K203" s="32"/>
    </row>
    <row r="204" customFormat="false" ht="45" hidden="false" customHeight="true" outlineLevel="0" collapsed="false">
      <c r="A204" s="108" t="s">
        <v>638</v>
      </c>
      <c r="B204" s="23" t="s">
        <v>639</v>
      </c>
      <c r="C204" s="62" t="s">
        <v>497</v>
      </c>
      <c r="D204" s="23" t="s">
        <v>1107</v>
      </c>
      <c r="E204" s="23" t="s">
        <v>533</v>
      </c>
      <c r="F204" s="25" t="s">
        <v>82</v>
      </c>
      <c r="G204" s="26" t="s">
        <v>38</v>
      </c>
      <c r="H204" s="23"/>
      <c r="I204" s="23"/>
      <c r="J204" s="23"/>
      <c r="K204" s="23"/>
    </row>
    <row r="205" customFormat="false" ht="18" hidden="false" customHeight="true" outlineLevel="0" collapsed="false">
      <c r="A205" s="108" t="s">
        <v>641</v>
      </c>
      <c r="B205" s="108" t="s">
        <v>642</v>
      </c>
      <c r="C205" s="108" t="s">
        <v>497</v>
      </c>
      <c r="D205" s="108" t="s">
        <v>1107</v>
      </c>
      <c r="E205" s="108" t="s">
        <v>533</v>
      </c>
      <c r="F205" s="108" t="s">
        <v>82</v>
      </c>
      <c r="G205" s="108" t="s">
        <v>38</v>
      </c>
      <c r="H205" s="108"/>
      <c r="I205" s="108"/>
      <c r="J205" s="108"/>
      <c r="K205" s="108"/>
    </row>
    <row r="206" customFormat="false" ht="45" hidden="false" customHeight="true" outlineLevel="0" collapsed="false">
      <c r="A206" s="86" t="s">
        <v>1096</v>
      </c>
      <c r="B206" s="87"/>
      <c r="C206" s="87"/>
      <c r="D206" s="87"/>
      <c r="E206" s="87"/>
      <c r="F206" s="87"/>
      <c r="G206" s="87"/>
      <c r="H206" s="87"/>
      <c r="I206" s="87"/>
      <c r="J206" s="87"/>
      <c r="K206" s="88"/>
    </row>
    <row r="207" customFormat="false" ht="45" hidden="false" customHeight="true" outlineLevel="0" collapsed="false">
      <c r="A207" s="55" t="s">
        <v>645</v>
      </c>
      <c r="B207" s="32" t="s">
        <v>647</v>
      </c>
      <c r="C207" s="39" t="s">
        <v>79</v>
      </c>
      <c r="D207" s="32" t="s">
        <v>1097</v>
      </c>
      <c r="E207" s="32" t="s">
        <v>644</v>
      </c>
      <c r="F207" s="25" t="s">
        <v>82</v>
      </c>
      <c r="G207" s="26" t="s">
        <v>38</v>
      </c>
      <c r="H207" s="32"/>
      <c r="I207" s="32"/>
      <c r="J207" s="32"/>
      <c r="K207" s="32"/>
    </row>
    <row r="208" customFormat="false" ht="45" hidden="false" customHeight="true" outlineLevel="0" collapsed="false">
      <c r="A208" s="55" t="s">
        <v>649</v>
      </c>
      <c r="B208" s="23" t="s">
        <v>650</v>
      </c>
      <c r="C208" s="24" t="s">
        <v>79</v>
      </c>
      <c r="D208" s="23" t="s">
        <v>1097</v>
      </c>
      <c r="E208" s="23" t="s">
        <v>644</v>
      </c>
      <c r="F208" s="25" t="s">
        <v>82</v>
      </c>
      <c r="G208" s="26" t="s">
        <v>38</v>
      </c>
      <c r="H208" s="23"/>
      <c r="I208" s="23"/>
      <c r="J208" s="23"/>
      <c r="K208" s="23"/>
    </row>
    <row r="209" customFormat="false" ht="18" hidden="false" customHeight="true" outlineLevel="0" collapsed="false">
      <c r="A209" s="55" t="s">
        <v>652</v>
      </c>
      <c r="B209" s="55" t="s">
        <v>653</v>
      </c>
      <c r="C209" s="55" t="s">
        <v>79</v>
      </c>
      <c r="D209" s="55" t="s">
        <v>1097</v>
      </c>
      <c r="E209" s="55" t="s">
        <v>644</v>
      </c>
      <c r="F209" s="55" t="s">
        <v>89</v>
      </c>
      <c r="G209" s="55" t="s">
        <v>38</v>
      </c>
      <c r="H209" s="55"/>
      <c r="I209" s="55"/>
      <c r="J209" s="55"/>
      <c r="K209" s="55"/>
    </row>
    <row r="210" customFormat="false" ht="45" hidden="false" customHeight="true" outlineLevel="0" collapsed="false">
      <c r="A210" s="89" t="s">
        <v>1098</v>
      </c>
      <c r="B210" s="90"/>
      <c r="C210" s="90"/>
      <c r="D210" s="90"/>
      <c r="E210" s="90"/>
      <c r="F210" s="90"/>
      <c r="G210" s="90"/>
      <c r="H210" s="90"/>
      <c r="I210" s="90"/>
      <c r="J210" s="90"/>
      <c r="K210" s="91"/>
    </row>
    <row r="211" customFormat="false" ht="45" hidden="false" customHeight="true" outlineLevel="0" collapsed="false">
      <c r="A211" s="92" t="s">
        <v>655</v>
      </c>
      <c r="B211" s="32" t="s">
        <v>656</v>
      </c>
      <c r="C211" s="33" t="s">
        <v>93</v>
      </c>
      <c r="D211" s="32" t="s">
        <v>1099</v>
      </c>
      <c r="E211" s="32" t="s">
        <v>644</v>
      </c>
      <c r="F211" s="25" t="s">
        <v>82</v>
      </c>
      <c r="G211" s="26" t="s">
        <v>38</v>
      </c>
      <c r="H211" s="32"/>
      <c r="I211" s="32"/>
      <c r="J211" s="32"/>
      <c r="K211" s="32"/>
    </row>
    <row r="212" customFormat="false" ht="45" hidden="false" customHeight="true" outlineLevel="0" collapsed="false">
      <c r="A212" s="92" t="s">
        <v>658</v>
      </c>
      <c r="B212" s="23" t="s">
        <v>659</v>
      </c>
      <c r="C212" s="36" t="s">
        <v>93</v>
      </c>
      <c r="D212" s="23" t="s">
        <v>1099</v>
      </c>
      <c r="E212" s="23" t="s">
        <v>644</v>
      </c>
      <c r="F212" s="25" t="s">
        <v>82</v>
      </c>
      <c r="G212" s="26" t="s">
        <v>38</v>
      </c>
      <c r="H212" s="23"/>
      <c r="I212" s="23"/>
      <c r="J212" s="23"/>
      <c r="K212" s="23"/>
    </row>
    <row r="213" customFormat="false" ht="45" hidden="false" customHeight="true" outlineLevel="0" collapsed="false">
      <c r="A213" s="92" t="s">
        <v>661</v>
      </c>
      <c r="B213" s="32" t="s">
        <v>662</v>
      </c>
      <c r="C213" s="33" t="s">
        <v>93</v>
      </c>
      <c r="D213" s="32" t="s">
        <v>1099</v>
      </c>
      <c r="E213" s="32" t="s">
        <v>644</v>
      </c>
      <c r="F213" s="25" t="s">
        <v>82</v>
      </c>
      <c r="G213" s="26" t="s">
        <v>38</v>
      </c>
      <c r="H213" s="32"/>
      <c r="I213" s="32"/>
      <c r="J213" s="32"/>
      <c r="K213" s="32"/>
    </row>
    <row r="214" customFormat="false" ht="45" hidden="false" customHeight="true" outlineLevel="0" collapsed="false">
      <c r="A214" s="92" t="s">
        <v>664</v>
      </c>
      <c r="B214" s="23" t="s">
        <v>665</v>
      </c>
      <c r="C214" s="36" t="s">
        <v>93</v>
      </c>
      <c r="D214" s="23" t="s">
        <v>1099</v>
      </c>
      <c r="E214" s="23" t="s">
        <v>644</v>
      </c>
      <c r="F214" s="25" t="s">
        <v>82</v>
      </c>
      <c r="G214" s="26" t="s">
        <v>38</v>
      </c>
      <c r="H214" s="23"/>
      <c r="I214" s="23"/>
      <c r="J214" s="23"/>
      <c r="K214" s="23"/>
    </row>
    <row r="215" customFormat="false" ht="45" hidden="false" customHeight="true" outlineLevel="0" collapsed="false">
      <c r="A215" s="92" t="s">
        <v>667</v>
      </c>
      <c r="B215" s="32" t="s">
        <v>668</v>
      </c>
      <c r="C215" s="33" t="s">
        <v>93</v>
      </c>
      <c r="D215" s="32" t="s">
        <v>1099</v>
      </c>
      <c r="E215" s="32" t="s">
        <v>644</v>
      </c>
      <c r="F215" s="25" t="s">
        <v>82</v>
      </c>
      <c r="G215" s="26" t="s">
        <v>38</v>
      </c>
      <c r="H215" s="32"/>
      <c r="I215" s="32"/>
      <c r="J215" s="32"/>
      <c r="K215" s="32"/>
    </row>
    <row r="216" customFormat="false" ht="18" hidden="false" customHeight="true" outlineLevel="0" collapsed="false">
      <c r="A216" s="92" t="s">
        <v>670</v>
      </c>
      <c r="B216" s="92" t="s">
        <v>671</v>
      </c>
      <c r="C216" s="92" t="s">
        <v>93</v>
      </c>
      <c r="D216" s="92" t="s">
        <v>1099</v>
      </c>
      <c r="E216" s="92" t="s">
        <v>644</v>
      </c>
      <c r="F216" s="92" t="s">
        <v>89</v>
      </c>
      <c r="G216" s="92" t="s">
        <v>38</v>
      </c>
      <c r="H216" s="92"/>
      <c r="I216" s="92"/>
      <c r="J216" s="92"/>
      <c r="K216" s="92"/>
    </row>
    <row r="217" customFormat="false" ht="45" hidden="false" customHeight="true" outlineLevel="0" collapsed="false">
      <c r="A217" s="97" t="s">
        <v>1102</v>
      </c>
      <c r="B217" s="98"/>
      <c r="C217" s="98"/>
      <c r="D217" s="98"/>
      <c r="E217" s="98"/>
      <c r="F217" s="98"/>
      <c r="G217" s="98"/>
      <c r="H217" s="98"/>
      <c r="I217" s="98"/>
      <c r="J217" s="98"/>
      <c r="K217" s="99"/>
    </row>
    <row r="218" customFormat="false" ht="45" hidden="false" customHeight="true" outlineLevel="0" collapsed="false">
      <c r="A218" s="21" t="s">
        <v>673</v>
      </c>
      <c r="B218" s="23" t="s">
        <v>674</v>
      </c>
      <c r="C218" s="45" t="s">
        <v>247</v>
      </c>
      <c r="D218" s="23" t="s">
        <v>1103</v>
      </c>
      <c r="E218" s="23" t="s">
        <v>644</v>
      </c>
      <c r="F218" s="25" t="s">
        <v>82</v>
      </c>
      <c r="G218" s="26" t="s">
        <v>38</v>
      </c>
      <c r="H218" s="23"/>
      <c r="I218" s="23"/>
      <c r="J218" s="23"/>
      <c r="K218" s="23"/>
    </row>
    <row r="219" customFormat="false" ht="18" hidden="false" customHeight="true" outlineLevel="0" collapsed="false">
      <c r="A219" s="21" t="s">
        <v>676</v>
      </c>
      <c r="B219" s="21" t="s">
        <v>677</v>
      </c>
      <c r="C219" s="21" t="s">
        <v>247</v>
      </c>
      <c r="D219" s="21" t="s">
        <v>1103</v>
      </c>
      <c r="E219" s="21" t="s">
        <v>644</v>
      </c>
      <c r="F219" s="21" t="s">
        <v>82</v>
      </c>
      <c r="G219" s="21" t="s">
        <v>38</v>
      </c>
      <c r="H219" s="21"/>
      <c r="I219" s="21"/>
      <c r="J219" s="21"/>
      <c r="K219" s="21"/>
    </row>
    <row r="220" customFormat="false" ht="45" hidden="false" customHeight="true" outlineLevel="0" collapsed="false">
      <c r="A220" s="89" t="s">
        <v>1098</v>
      </c>
      <c r="B220" s="90"/>
      <c r="C220" s="90"/>
      <c r="D220" s="90"/>
      <c r="E220" s="90"/>
      <c r="F220" s="90"/>
      <c r="G220" s="90"/>
      <c r="H220" s="90"/>
      <c r="I220" s="90"/>
      <c r="J220" s="90"/>
      <c r="K220" s="91"/>
    </row>
    <row r="221" customFormat="false" ht="18" hidden="false" customHeight="true" outlineLevel="0" collapsed="false">
      <c r="A221" s="92" t="s">
        <v>679</v>
      </c>
      <c r="B221" s="92" t="s">
        <v>680</v>
      </c>
      <c r="C221" s="92" t="s">
        <v>93</v>
      </c>
      <c r="D221" s="92" t="s">
        <v>1099</v>
      </c>
      <c r="E221" s="92" t="s">
        <v>644</v>
      </c>
      <c r="F221" s="92" t="s">
        <v>82</v>
      </c>
      <c r="G221" s="92" t="s">
        <v>38</v>
      </c>
      <c r="H221" s="92"/>
      <c r="I221" s="92"/>
      <c r="J221" s="92"/>
      <c r="K221" s="92"/>
    </row>
    <row r="222" customFormat="false" ht="45" hidden="false" customHeight="true" outlineLevel="0" collapsed="false">
      <c r="A222" s="97" t="s">
        <v>1102</v>
      </c>
      <c r="B222" s="98"/>
      <c r="C222" s="98"/>
      <c r="D222" s="98"/>
      <c r="E222" s="98"/>
      <c r="F222" s="98"/>
      <c r="G222" s="98"/>
      <c r="H222" s="98"/>
      <c r="I222" s="98"/>
      <c r="J222" s="98"/>
      <c r="K222" s="99"/>
    </row>
    <row r="223" customFormat="false" ht="45" hidden="false" customHeight="true" outlineLevel="0" collapsed="false">
      <c r="A223" s="21" t="s">
        <v>682</v>
      </c>
      <c r="B223" s="32" t="s">
        <v>683</v>
      </c>
      <c r="C223" s="47" t="s">
        <v>247</v>
      </c>
      <c r="D223" s="32" t="s">
        <v>1103</v>
      </c>
      <c r="E223" s="32" t="s">
        <v>644</v>
      </c>
      <c r="F223" s="25" t="s">
        <v>82</v>
      </c>
      <c r="G223" s="26" t="s">
        <v>38</v>
      </c>
      <c r="H223" s="32"/>
      <c r="I223" s="32"/>
      <c r="J223" s="32"/>
      <c r="K223" s="32"/>
    </row>
    <row r="224" customFormat="false" ht="45" hidden="false" customHeight="true" outlineLevel="0" collapsed="false">
      <c r="A224" s="21" t="s">
        <v>685</v>
      </c>
      <c r="B224" s="23" t="s">
        <v>686</v>
      </c>
      <c r="C224" s="45" t="s">
        <v>247</v>
      </c>
      <c r="D224" s="23" t="s">
        <v>1103</v>
      </c>
      <c r="E224" s="23" t="s">
        <v>644</v>
      </c>
      <c r="F224" s="25" t="s">
        <v>89</v>
      </c>
      <c r="G224" s="26" t="s">
        <v>38</v>
      </c>
      <c r="H224" s="23"/>
      <c r="I224" s="23"/>
      <c r="J224" s="23"/>
      <c r="K224" s="23"/>
    </row>
    <row r="225" customFormat="false" ht="45" hidden="false" customHeight="true" outlineLevel="0" collapsed="false">
      <c r="A225" s="21" t="s">
        <v>689</v>
      </c>
      <c r="B225" s="32" t="s">
        <v>690</v>
      </c>
      <c r="C225" s="47" t="s">
        <v>247</v>
      </c>
      <c r="D225" s="32" t="s">
        <v>1103</v>
      </c>
      <c r="E225" s="32" t="s">
        <v>644</v>
      </c>
      <c r="F225" s="25" t="s">
        <v>89</v>
      </c>
      <c r="G225" s="26" t="s">
        <v>38</v>
      </c>
      <c r="H225" s="32"/>
      <c r="I225" s="32"/>
      <c r="J225" s="32"/>
      <c r="K225" s="32"/>
    </row>
    <row r="226" customFormat="false" ht="45" hidden="false" customHeight="true" outlineLevel="0" collapsed="false">
      <c r="A226" s="21" t="s">
        <v>692</v>
      </c>
      <c r="B226" s="23" t="s">
        <v>693</v>
      </c>
      <c r="C226" s="45" t="s">
        <v>247</v>
      </c>
      <c r="D226" s="23" t="s">
        <v>1103</v>
      </c>
      <c r="E226" s="23" t="s">
        <v>644</v>
      </c>
      <c r="F226" s="25" t="s">
        <v>82</v>
      </c>
      <c r="G226" s="26" t="s">
        <v>38</v>
      </c>
      <c r="H226" s="23"/>
      <c r="I226" s="23"/>
      <c r="J226" s="23"/>
      <c r="K226" s="23"/>
    </row>
    <row r="227" customFormat="false" ht="45" hidden="false" customHeight="true" outlineLevel="0" collapsed="false">
      <c r="A227" s="21" t="s">
        <v>695</v>
      </c>
      <c r="B227" s="32" t="s">
        <v>696</v>
      </c>
      <c r="C227" s="47" t="s">
        <v>247</v>
      </c>
      <c r="D227" s="32" t="s">
        <v>1103</v>
      </c>
      <c r="E227" s="32" t="s">
        <v>644</v>
      </c>
      <c r="F227" s="25" t="s">
        <v>82</v>
      </c>
      <c r="G227" s="26" t="s">
        <v>38</v>
      </c>
      <c r="H227" s="32"/>
      <c r="I227" s="32"/>
      <c r="J227" s="32"/>
      <c r="K227" s="32"/>
    </row>
    <row r="228" customFormat="false" ht="45" hidden="false" customHeight="true" outlineLevel="0" collapsed="false">
      <c r="A228" s="21" t="s">
        <v>698</v>
      </c>
      <c r="B228" s="23" t="s">
        <v>699</v>
      </c>
      <c r="C228" s="45" t="s">
        <v>247</v>
      </c>
      <c r="D228" s="23" t="s">
        <v>1103</v>
      </c>
      <c r="E228" s="23" t="s">
        <v>644</v>
      </c>
      <c r="F228" s="25" t="s">
        <v>82</v>
      </c>
      <c r="G228" s="26" t="s">
        <v>38</v>
      </c>
      <c r="H228" s="23"/>
      <c r="I228" s="23"/>
      <c r="J228" s="23"/>
      <c r="K228" s="23"/>
    </row>
    <row r="229" customFormat="false" ht="45" hidden="false" customHeight="true" outlineLevel="0" collapsed="false">
      <c r="A229" s="21" t="s">
        <v>701</v>
      </c>
      <c r="B229" s="32" t="s">
        <v>702</v>
      </c>
      <c r="C229" s="47" t="s">
        <v>247</v>
      </c>
      <c r="D229" s="32" t="s">
        <v>1103</v>
      </c>
      <c r="E229" s="32" t="s">
        <v>644</v>
      </c>
      <c r="F229" s="25" t="s">
        <v>82</v>
      </c>
      <c r="G229" s="26" t="s">
        <v>38</v>
      </c>
      <c r="H229" s="32"/>
      <c r="I229" s="32"/>
      <c r="J229" s="32"/>
      <c r="K229" s="32"/>
    </row>
    <row r="230" customFormat="false" ht="45" hidden="false" customHeight="true" outlineLevel="0" collapsed="false">
      <c r="A230" s="21" t="s">
        <v>704</v>
      </c>
      <c r="B230" s="23" t="s">
        <v>705</v>
      </c>
      <c r="C230" s="45" t="s">
        <v>247</v>
      </c>
      <c r="D230" s="23" t="s">
        <v>1103</v>
      </c>
      <c r="E230" s="23" t="s">
        <v>644</v>
      </c>
      <c r="F230" s="25" t="s">
        <v>89</v>
      </c>
      <c r="G230" s="26" t="s">
        <v>38</v>
      </c>
      <c r="H230" s="23"/>
      <c r="I230" s="23"/>
      <c r="J230" s="23"/>
      <c r="K230" s="23"/>
    </row>
    <row r="231" customFormat="false" ht="45" hidden="false" customHeight="true" outlineLevel="0" collapsed="false">
      <c r="A231" s="21" t="s">
        <v>707</v>
      </c>
      <c r="B231" s="32" t="s">
        <v>708</v>
      </c>
      <c r="C231" s="47" t="s">
        <v>247</v>
      </c>
      <c r="D231" s="32" t="s">
        <v>1103</v>
      </c>
      <c r="E231" s="32" t="s">
        <v>644</v>
      </c>
      <c r="F231" s="25" t="s">
        <v>82</v>
      </c>
      <c r="G231" s="26" t="s">
        <v>38</v>
      </c>
      <c r="H231" s="32"/>
      <c r="I231" s="32"/>
      <c r="J231" s="32"/>
      <c r="K231" s="32"/>
    </row>
    <row r="232" customFormat="false" ht="45" hidden="false" customHeight="true" outlineLevel="0" collapsed="false">
      <c r="A232" s="21" t="s">
        <v>711</v>
      </c>
      <c r="B232" s="23" t="s">
        <v>712</v>
      </c>
      <c r="C232" s="45" t="s">
        <v>247</v>
      </c>
      <c r="D232" s="23" t="s">
        <v>1103</v>
      </c>
      <c r="E232" s="23" t="s">
        <v>644</v>
      </c>
      <c r="F232" s="25" t="s">
        <v>82</v>
      </c>
      <c r="G232" s="26" t="s">
        <v>38</v>
      </c>
      <c r="H232" s="23"/>
      <c r="I232" s="23"/>
      <c r="J232" s="23"/>
      <c r="K232" s="23"/>
    </row>
    <row r="233" customFormat="false" ht="45" hidden="false" customHeight="true" outlineLevel="0" collapsed="false">
      <c r="A233" s="21" t="s">
        <v>715</v>
      </c>
      <c r="B233" s="32" t="s">
        <v>716</v>
      </c>
      <c r="C233" s="47" t="s">
        <v>247</v>
      </c>
      <c r="D233" s="32" t="s">
        <v>1103</v>
      </c>
      <c r="E233" s="32" t="s">
        <v>644</v>
      </c>
      <c r="F233" s="25" t="s">
        <v>82</v>
      </c>
      <c r="G233" s="26" t="s">
        <v>38</v>
      </c>
      <c r="H233" s="32"/>
      <c r="I233" s="32"/>
      <c r="J233" s="32"/>
      <c r="K233" s="32"/>
    </row>
    <row r="234" customFormat="false" ht="18" hidden="false" customHeight="true" outlineLevel="0" collapsed="false">
      <c r="A234" s="21" t="s">
        <v>718</v>
      </c>
      <c r="B234" s="21" t="s">
        <v>719</v>
      </c>
      <c r="C234" s="21" t="s">
        <v>247</v>
      </c>
      <c r="D234" s="21" t="s">
        <v>1103</v>
      </c>
      <c r="E234" s="21" t="s">
        <v>644</v>
      </c>
      <c r="F234" s="21" t="s">
        <v>82</v>
      </c>
      <c r="G234" s="21" t="s">
        <v>38</v>
      </c>
      <c r="H234" s="21"/>
      <c r="I234" s="21"/>
      <c r="J234" s="21"/>
      <c r="K234" s="21"/>
    </row>
    <row r="235" customFormat="false" ht="45" hidden="false" customHeight="true" outlineLevel="0" collapsed="false">
      <c r="A235" s="93" t="s">
        <v>1100</v>
      </c>
      <c r="B235" s="94"/>
      <c r="C235" s="94"/>
      <c r="D235" s="94"/>
      <c r="E235" s="94"/>
      <c r="F235" s="94"/>
      <c r="G235" s="94"/>
      <c r="H235" s="94"/>
      <c r="I235" s="94"/>
      <c r="J235" s="94"/>
      <c r="K235" s="95"/>
    </row>
    <row r="236" customFormat="false" ht="45" hidden="false" customHeight="true" outlineLevel="0" collapsed="false">
      <c r="A236" s="49" t="s">
        <v>721</v>
      </c>
      <c r="B236" s="23" t="s">
        <v>722</v>
      </c>
      <c r="C236" s="96" t="s">
        <v>104</v>
      </c>
      <c r="D236" s="23" t="s">
        <v>1101</v>
      </c>
      <c r="E236" s="23" t="s">
        <v>644</v>
      </c>
      <c r="F236" s="25" t="s">
        <v>82</v>
      </c>
      <c r="G236" s="26" t="s">
        <v>38</v>
      </c>
      <c r="H236" s="23"/>
      <c r="I236" s="23"/>
      <c r="J236" s="23"/>
      <c r="K236" s="23"/>
    </row>
    <row r="237" customFormat="false" ht="18" hidden="false" customHeight="true" outlineLevel="0" collapsed="false">
      <c r="A237" s="49" t="s">
        <v>725</v>
      </c>
      <c r="B237" s="49" t="s">
        <v>726</v>
      </c>
      <c r="C237" s="49" t="s">
        <v>104</v>
      </c>
      <c r="D237" s="49" t="s">
        <v>1101</v>
      </c>
      <c r="E237" s="49" t="s">
        <v>644</v>
      </c>
      <c r="F237" s="49" t="s">
        <v>82</v>
      </c>
      <c r="G237" s="49" t="s">
        <v>38</v>
      </c>
      <c r="H237" s="49"/>
      <c r="I237" s="49"/>
      <c r="J237" s="49"/>
      <c r="K237" s="49"/>
    </row>
    <row r="238" customFormat="false" ht="45" hidden="false" customHeight="true" outlineLevel="0" collapsed="false">
      <c r="A238" s="89" t="s">
        <v>1098</v>
      </c>
      <c r="B238" s="90"/>
      <c r="C238" s="90"/>
      <c r="D238" s="90"/>
      <c r="E238" s="90"/>
      <c r="F238" s="90"/>
      <c r="G238" s="90"/>
      <c r="H238" s="90"/>
      <c r="I238" s="90"/>
      <c r="J238" s="90"/>
      <c r="K238" s="91"/>
    </row>
    <row r="239" customFormat="false" ht="45" hidden="false" customHeight="true" outlineLevel="0" collapsed="false">
      <c r="A239" s="92" t="s">
        <v>728</v>
      </c>
      <c r="B239" s="32" t="s">
        <v>729</v>
      </c>
      <c r="C239" s="33" t="s">
        <v>93</v>
      </c>
      <c r="D239" s="32" t="s">
        <v>1099</v>
      </c>
      <c r="E239" s="32" t="s">
        <v>644</v>
      </c>
      <c r="F239" s="25" t="s">
        <v>82</v>
      </c>
      <c r="G239" s="26" t="s">
        <v>38</v>
      </c>
      <c r="H239" s="32"/>
      <c r="I239" s="32"/>
      <c r="J239" s="32"/>
      <c r="K239" s="32"/>
    </row>
    <row r="240" customFormat="false" ht="45" hidden="false" customHeight="true" outlineLevel="0" collapsed="false">
      <c r="A240" s="92" t="s">
        <v>731</v>
      </c>
      <c r="B240" s="23" t="s">
        <v>732</v>
      </c>
      <c r="C240" s="36" t="s">
        <v>93</v>
      </c>
      <c r="D240" s="23" t="s">
        <v>1099</v>
      </c>
      <c r="E240" s="23" t="s">
        <v>644</v>
      </c>
      <c r="F240" s="25" t="s">
        <v>82</v>
      </c>
      <c r="G240" s="26" t="s">
        <v>38</v>
      </c>
      <c r="H240" s="23"/>
      <c r="I240" s="23"/>
      <c r="J240" s="23"/>
      <c r="K240" s="23"/>
    </row>
    <row r="241" customFormat="false" ht="45" hidden="false" customHeight="true" outlineLevel="0" collapsed="false">
      <c r="A241" s="92" t="s">
        <v>734</v>
      </c>
      <c r="B241" s="32" t="s">
        <v>735</v>
      </c>
      <c r="C241" s="33" t="s">
        <v>93</v>
      </c>
      <c r="D241" s="32" t="s">
        <v>1099</v>
      </c>
      <c r="E241" s="32" t="s">
        <v>644</v>
      </c>
      <c r="F241" s="25" t="s">
        <v>82</v>
      </c>
      <c r="G241" s="26" t="s">
        <v>38</v>
      </c>
      <c r="H241" s="32"/>
      <c r="I241" s="32"/>
      <c r="J241" s="32"/>
      <c r="K241" s="32"/>
    </row>
    <row r="242" customFormat="false" ht="45" hidden="false" customHeight="true" outlineLevel="0" collapsed="false">
      <c r="A242" s="92" t="s">
        <v>737</v>
      </c>
      <c r="B242" s="23" t="s">
        <v>738</v>
      </c>
      <c r="C242" s="36" t="s">
        <v>93</v>
      </c>
      <c r="D242" s="23" t="s">
        <v>1099</v>
      </c>
      <c r="E242" s="23" t="s">
        <v>644</v>
      </c>
      <c r="F242" s="25" t="s">
        <v>82</v>
      </c>
      <c r="G242" s="26" t="s">
        <v>38</v>
      </c>
      <c r="H242" s="23"/>
      <c r="I242" s="23"/>
      <c r="J242" s="23"/>
      <c r="K242" s="23"/>
    </row>
    <row r="243" customFormat="false" ht="45" hidden="false" customHeight="true" outlineLevel="0" collapsed="false">
      <c r="A243" s="92" t="s">
        <v>740</v>
      </c>
      <c r="B243" s="32" t="s">
        <v>741</v>
      </c>
      <c r="C243" s="33" t="s">
        <v>93</v>
      </c>
      <c r="D243" s="32" t="s">
        <v>1099</v>
      </c>
      <c r="E243" s="32" t="s">
        <v>644</v>
      </c>
      <c r="F243" s="25" t="s">
        <v>89</v>
      </c>
      <c r="G243" s="26" t="s">
        <v>38</v>
      </c>
      <c r="H243" s="32"/>
      <c r="I243" s="32"/>
      <c r="J243" s="32"/>
      <c r="K243" s="32"/>
    </row>
    <row r="244" customFormat="false" ht="18" hidden="false" customHeight="true" outlineLevel="0" collapsed="false">
      <c r="A244" s="92" t="s">
        <v>743</v>
      </c>
      <c r="B244" s="92" t="s">
        <v>744</v>
      </c>
      <c r="C244" s="92" t="s">
        <v>93</v>
      </c>
      <c r="D244" s="92" t="s">
        <v>1099</v>
      </c>
      <c r="E244" s="92" t="s">
        <v>644</v>
      </c>
      <c r="F244" s="92" t="s">
        <v>82</v>
      </c>
      <c r="G244" s="92" t="s">
        <v>38</v>
      </c>
      <c r="H244" s="92"/>
      <c r="I244" s="92"/>
      <c r="J244" s="92"/>
      <c r="K244" s="92"/>
    </row>
    <row r="245" customFormat="false" ht="45" hidden="false" customHeight="true" outlineLevel="0" collapsed="false">
      <c r="A245" s="86" t="s">
        <v>1096</v>
      </c>
      <c r="B245" s="87"/>
      <c r="C245" s="87"/>
      <c r="D245" s="87"/>
      <c r="E245" s="87"/>
      <c r="F245" s="87"/>
      <c r="G245" s="87"/>
      <c r="H245" s="87"/>
      <c r="I245" s="87"/>
      <c r="J245" s="87"/>
      <c r="K245" s="88"/>
    </row>
    <row r="246" customFormat="false" ht="45" hidden="false" customHeight="true" outlineLevel="0" collapsed="false">
      <c r="A246" s="55" t="s">
        <v>747</v>
      </c>
      <c r="B246" s="23" t="s">
        <v>749</v>
      </c>
      <c r="C246" s="24" t="s">
        <v>79</v>
      </c>
      <c r="D246" s="23" t="s">
        <v>1097</v>
      </c>
      <c r="E246" s="23" t="s">
        <v>746</v>
      </c>
      <c r="F246" s="25" t="s">
        <v>82</v>
      </c>
      <c r="G246" s="26" t="s">
        <v>38</v>
      </c>
      <c r="H246" s="23"/>
      <c r="I246" s="23"/>
      <c r="J246" s="23"/>
      <c r="K246" s="23"/>
    </row>
    <row r="247" customFormat="false" ht="45" hidden="false" customHeight="true" outlineLevel="0" collapsed="false">
      <c r="A247" s="55" t="s">
        <v>751</v>
      </c>
      <c r="B247" s="32" t="s">
        <v>752</v>
      </c>
      <c r="C247" s="39" t="s">
        <v>79</v>
      </c>
      <c r="D247" s="32" t="s">
        <v>1097</v>
      </c>
      <c r="E247" s="32" t="s">
        <v>746</v>
      </c>
      <c r="F247" s="25" t="s">
        <v>82</v>
      </c>
      <c r="G247" s="26" t="s">
        <v>38</v>
      </c>
      <c r="H247" s="32"/>
      <c r="I247" s="32"/>
      <c r="J247" s="32"/>
      <c r="K247" s="32"/>
    </row>
    <row r="248" customFormat="false" ht="18" hidden="false" customHeight="true" outlineLevel="0" collapsed="false">
      <c r="A248" s="55" t="s">
        <v>754</v>
      </c>
      <c r="B248" s="55" t="s">
        <v>755</v>
      </c>
      <c r="C248" s="55" t="s">
        <v>79</v>
      </c>
      <c r="D248" s="55" t="s">
        <v>1097</v>
      </c>
      <c r="E248" s="55" t="s">
        <v>746</v>
      </c>
      <c r="F248" s="55" t="s">
        <v>89</v>
      </c>
      <c r="G248" s="55" t="s">
        <v>38</v>
      </c>
      <c r="H248" s="55"/>
      <c r="I248" s="55"/>
      <c r="J248" s="55"/>
      <c r="K248" s="55"/>
    </row>
    <row r="249" customFormat="false" ht="45" hidden="false" customHeight="true" outlineLevel="0" collapsed="false">
      <c r="A249" s="105" t="s">
        <v>1106</v>
      </c>
      <c r="B249" s="106"/>
      <c r="C249" s="106"/>
      <c r="D249" s="106"/>
      <c r="E249" s="106"/>
      <c r="F249" s="106"/>
      <c r="G249" s="106"/>
      <c r="H249" s="106"/>
      <c r="I249" s="106"/>
      <c r="J249" s="106"/>
      <c r="K249" s="107"/>
    </row>
    <row r="250" customFormat="false" ht="45" hidden="false" customHeight="true" outlineLevel="0" collapsed="false">
      <c r="A250" s="108" t="s">
        <v>757</v>
      </c>
      <c r="B250" s="23" t="s">
        <v>758</v>
      </c>
      <c r="C250" s="62" t="s">
        <v>497</v>
      </c>
      <c r="D250" s="23" t="s">
        <v>1107</v>
      </c>
      <c r="E250" s="23" t="s">
        <v>746</v>
      </c>
      <c r="F250" s="25" t="s">
        <v>82</v>
      </c>
      <c r="G250" s="26" t="s">
        <v>38</v>
      </c>
      <c r="H250" s="23"/>
      <c r="I250" s="23"/>
      <c r="J250" s="23"/>
      <c r="K250" s="23"/>
    </row>
    <row r="251" customFormat="false" ht="45" hidden="false" customHeight="true" outlineLevel="0" collapsed="false">
      <c r="A251" s="108" t="s">
        <v>760</v>
      </c>
      <c r="B251" s="32" t="s">
        <v>761</v>
      </c>
      <c r="C251" s="73" t="s">
        <v>497</v>
      </c>
      <c r="D251" s="32" t="s">
        <v>1107</v>
      </c>
      <c r="E251" s="32" t="s">
        <v>746</v>
      </c>
      <c r="F251" s="25" t="s">
        <v>82</v>
      </c>
      <c r="G251" s="26" t="s">
        <v>38</v>
      </c>
      <c r="H251" s="32"/>
      <c r="I251" s="32"/>
      <c r="J251" s="32"/>
      <c r="K251" s="32"/>
    </row>
    <row r="252" customFormat="false" ht="45" hidden="false" customHeight="true" outlineLevel="0" collapsed="false">
      <c r="A252" s="108" t="s">
        <v>763</v>
      </c>
      <c r="B252" s="23" t="s">
        <v>764</v>
      </c>
      <c r="C252" s="62" t="s">
        <v>497</v>
      </c>
      <c r="D252" s="23" t="s">
        <v>1107</v>
      </c>
      <c r="E252" s="23" t="s">
        <v>746</v>
      </c>
      <c r="F252" s="25" t="s">
        <v>82</v>
      </c>
      <c r="G252" s="26" t="s">
        <v>38</v>
      </c>
      <c r="H252" s="23"/>
      <c r="I252" s="23"/>
      <c r="J252" s="23"/>
      <c r="K252" s="23"/>
    </row>
    <row r="253" customFormat="false" ht="45" hidden="false" customHeight="true" outlineLevel="0" collapsed="false">
      <c r="A253" s="108" t="s">
        <v>766</v>
      </c>
      <c r="B253" s="32" t="s">
        <v>767</v>
      </c>
      <c r="C253" s="73" t="s">
        <v>497</v>
      </c>
      <c r="D253" s="32" t="s">
        <v>1107</v>
      </c>
      <c r="E253" s="32" t="s">
        <v>746</v>
      </c>
      <c r="F253" s="25" t="s">
        <v>82</v>
      </c>
      <c r="G253" s="26" t="s">
        <v>38</v>
      </c>
      <c r="H253" s="32"/>
      <c r="I253" s="32"/>
      <c r="J253" s="32"/>
      <c r="K253" s="32"/>
    </row>
    <row r="254" customFormat="false" ht="45" hidden="false" customHeight="true" outlineLevel="0" collapsed="false">
      <c r="A254" s="108" t="s">
        <v>769</v>
      </c>
      <c r="B254" s="23" t="s">
        <v>770</v>
      </c>
      <c r="C254" s="62" t="s">
        <v>497</v>
      </c>
      <c r="D254" s="23" t="s">
        <v>1107</v>
      </c>
      <c r="E254" s="23" t="s">
        <v>746</v>
      </c>
      <c r="F254" s="25" t="s">
        <v>82</v>
      </c>
      <c r="G254" s="26" t="s">
        <v>38</v>
      </c>
      <c r="H254" s="23"/>
      <c r="I254" s="23"/>
      <c r="J254" s="23"/>
      <c r="K254" s="23"/>
    </row>
    <row r="255" customFormat="false" ht="45" hidden="false" customHeight="true" outlineLevel="0" collapsed="false">
      <c r="A255" s="108" t="s">
        <v>772</v>
      </c>
      <c r="B255" s="32" t="s">
        <v>773</v>
      </c>
      <c r="C255" s="73" t="s">
        <v>497</v>
      </c>
      <c r="D255" s="32" t="s">
        <v>1107</v>
      </c>
      <c r="E255" s="32" t="s">
        <v>746</v>
      </c>
      <c r="F255" s="25" t="s">
        <v>82</v>
      </c>
      <c r="G255" s="26" t="s">
        <v>38</v>
      </c>
      <c r="H255" s="32"/>
      <c r="I255" s="32"/>
      <c r="J255" s="32"/>
      <c r="K255" s="32"/>
    </row>
    <row r="256" customFormat="false" ht="45" hidden="false" customHeight="true" outlineLevel="0" collapsed="false">
      <c r="A256" s="108" t="s">
        <v>775</v>
      </c>
      <c r="B256" s="23" t="s">
        <v>776</v>
      </c>
      <c r="C256" s="62" t="s">
        <v>497</v>
      </c>
      <c r="D256" s="23" t="s">
        <v>1107</v>
      </c>
      <c r="E256" s="23" t="s">
        <v>746</v>
      </c>
      <c r="F256" s="25" t="s">
        <v>82</v>
      </c>
      <c r="G256" s="26" t="s">
        <v>38</v>
      </c>
      <c r="H256" s="23"/>
      <c r="I256" s="23"/>
      <c r="J256" s="23"/>
      <c r="K256" s="23"/>
    </row>
    <row r="257" customFormat="false" ht="45" hidden="false" customHeight="true" outlineLevel="0" collapsed="false">
      <c r="A257" s="108" t="s">
        <v>778</v>
      </c>
      <c r="B257" s="32" t="s">
        <v>779</v>
      </c>
      <c r="C257" s="73" t="s">
        <v>497</v>
      </c>
      <c r="D257" s="32" t="s">
        <v>1107</v>
      </c>
      <c r="E257" s="32" t="s">
        <v>746</v>
      </c>
      <c r="F257" s="25" t="s">
        <v>82</v>
      </c>
      <c r="G257" s="26" t="s">
        <v>38</v>
      </c>
      <c r="H257" s="32"/>
      <c r="I257" s="32"/>
      <c r="J257" s="32"/>
      <c r="K257" s="32"/>
    </row>
    <row r="258" customFormat="false" ht="45" hidden="false" customHeight="true" outlineLevel="0" collapsed="false">
      <c r="A258" s="108" t="s">
        <v>781</v>
      </c>
      <c r="B258" s="23" t="s">
        <v>782</v>
      </c>
      <c r="C258" s="62" t="s">
        <v>497</v>
      </c>
      <c r="D258" s="23" t="s">
        <v>1107</v>
      </c>
      <c r="E258" s="23" t="s">
        <v>746</v>
      </c>
      <c r="F258" s="25" t="s">
        <v>82</v>
      </c>
      <c r="G258" s="26" t="s">
        <v>38</v>
      </c>
      <c r="H258" s="23"/>
      <c r="I258" s="23"/>
      <c r="J258" s="23"/>
      <c r="K258" s="23"/>
    </row>
    <row r="259" customFormat="false" ht="45" hidden="false" customHeight="true" outlineLevel="0" collapsed="false">
      <c r="A259" s="108" t="s">
        <v>784</v>
      </c>
      <c r="B259" s="32" t="s">
        <v>785</v>
      </c>
      <c r="C259" s="73" t="s">
        <v>497</v>
      </c>
      <c r="D259" s="32" t="s">
        <v>1107</v>
      </c>
      <c r="E259" s="32" t="s">
        <v>746</v>
      </c>
      <c r="F259" s="25" t="s">
        <v>82</v>
      </c>
      <c r="G259" s="26" t="s">
        <v>38</v>
      </c>
      <c r="H259" s="32"/>
      <c r="I259" s="32"/>
      <c r="J259" s="32"/>
      <c r="K259" s="32"/>
    </row>
    <row r="260" customFormat="false" ht="45" hidden="false" customHeight="true" outlineLevel="0" collapsed="false">
      <c r="A260" s="108" t="s">
        <v>787</v>
      </c>
      <c r="B260" s="23" t="s">
        <v>788</v>
      </c>
      <c r="C260" s="62" t="s">
        <v>497</v>
      </c>
      <c r="D260" s="23" t="s">
        <v>1107</v>
      </c>
      <c r="E260" s="23" t="s">
        <v>746</v>
      </c>
      <c r="F260" s="25" t="s">
        <v>82</v>
      </c>
      <c r="G260" s="26" t="s">
        <v>38</v>
      </c>
      <c r="H260" s="23"/>
      <c r="I260" s="23"/>
      <c r="J260" s="23"/>
      <c r="K260" s="23"/>
    </row>
    <row r="261" customFormat="false" ht="45" hidden="false" customHeight="true" outlineLevel="0" collapsed="false">
      <c r="A261" s="108" t="s">
        <v>790</v>
      </c>
      <c r="B261" s="32" t="s">
        <v>791</v>
      </c>
      <c r="C261" s="73" t="s">
        <v>497</v>
      </c>
      <c r="D261" s="32" t="s">
        <v>1107</v>
      </c>
      <c r="E261" s="32" t="s">
        <v>746</v>
      </c>
      <c r="F261" s="25" t="s">
        <v>82</v>
      </c>
      <c r="G261" s="26" t="s">
        <v>38</v>
      </c>
      <c r="H261" s="32"/>
      <c r="I261" s="32"/>
      <c r="J261" s="32"/>
      <c r="K261" s="32"/>
    </row>
    <row r="262" customFormat="false" ht="45" hidden="false" customHeight="true" outlineLevel="0" collapsed="false">
      <c r="A262" s="108" t="s">
        <v>793</v>
      </c>
      <c r="B262" s="23" t="s">
        <v>794</v>
      </c>
      <c r="C262" s="62" t="s">
        <v>497</v>
      </c>
      <c r="D262" s="23" t="s">
        <v>1107</v>
      </c>
      <c r="E262" s="23" t="s">
        <v>746</v>
      </c>
      <c r="F262" s="25" t="s">
        <v>82</v>
      </c>
      <c r="G262" s="26" t="s">
        <v>38</v>
      </c>
      <c r="H262" s="23"/>
      <c r="I262" s="23"/>
      <c r="J262" s="23"/>
      <c r="K262" s="23"/>
    </row>
    <row r="263" customFormat="false" ht="45" hidden="false" customHeight="true" outlineLevel="0" collapsed="false">
      <c r="A263" s="108" t="s">
        <v>796</v>
      </c>
      <c r="B263" s="32" t="s">
        <v>797</v>
      </c>
      <c r="C263" s="73" t="s">
        <v>497</v>
      </c>
      <c r="D263" s="32" t="s">
        <v>1107</v>
      </c>
      <c r="E263" s="32" t="s">
        <v>746</v>
      </c>
      <c r="F263" s="25" t="s">
        <v>82</v>
      </c>
      <c r="G263" s="26" t="s">
        <v>38</v>
      </c>
      <c r="H263" s="32"/>
      <c r="I263" s="32"/>
      <c r="J263" s="32"/>
      <c r="K263" s="32"/>
    </row>
    <row r="264" customFormat="false" ht="45" hidden="false" customHeight="true" outlineLevel="0" collapsed="false">
      <c r="A264" s="108" t="s">
        <v>799</v>
      </c>
      <c r="B264" s="23" t="s">
        <v>800</v>
      </c>
      <c r="C264" s="62" t="s">
        <v>497</v>
      </c>
      <c r="D264" s="23" t="s">
        <v>1107</v>
      </c>
      <c r="E264" s="23" t="s">
        <v>746</v>
      </c>
      <c r="F264" s="25" t="s">
        <v>82</v>
      </c>
      <c r="G264" s="26" t="s">
        <v>38</v>
      </c>
      <c r="H264" s="23"/>
      <c r="I264" s="23"/>
      <c r="J264" s="23"/>
      <c r="K264" s="23"/>
    </row>
    <row r="265" customFormat="false" ht="45" hidden="false" customHeight="true" outlineLevel="0" collapsed="false">
      <c r="A265" s="108" t="s">
        <v>802</v>
      </c>
      <c r="B265" s="32" t="s">
        <v>803</v>
      </c>
      <c r="C265" s="73" t="s">
        <v>497</v>
      </c>
      <c r="D265" s="32" t="s">
        <v>1107</v>
      </c>
      <c r="E265" s="32" t="s">
        <v>746</v>
      </c>
      <c r="F265" s="25" t="s">
        <v>82</v>
      </c>
      <c r="G265" s="26" t="s">
        <v>38</v>
      </c>
      <c r="H265" s="32"/>
      <c r="I265" s="32"/>
      <c r="J265" s="32"/>
      <c r="K265" s="32"/>
    </row>
    <row r="266" customFormat="false" ht="45" hidden="false" customHeight="true" outlineLevel="0" collapsed="false">
      <c r="A266" s="108" t="s">
        <v>806</v>
      </c>
      <c r="B266" s="23" t="s">
        <v>807</v>
      </c>
      <c r="C266" s="62" t="s">
        <v>497</v>
      </c>
      <c r="D266" s="23" t="s">
        <v>1107</v>
      </c>
      <c r="E266" s="23" t="s">
        <v>746</v>
      </c>
      <c r="F266" s="25" t="s">
        <v>82</v>
      </c>
      <c r="G266" s="26" t="s">
        <v>38</v>
      </c>
      <c r="H266" s="23"/>
      <c r="I266" s="23"/>
      <c r="J266" s="23"/>
      <c r="K266" s="23"/>
    </row>
    <row r="267" customFormat="false" ht="45" hidden="false" customHeight="true" outlineLevel="0" collapsed="false">
      <c r="A267" s="108" t="s">
        <v>809</v>
      </c>
      <c r="B267" s="32" t="s">
        <v>810</v>
      </c>
      <c r="C267" s="73" t="s">
        <v>497</v>
      </c>
      <c r="D267" s="32" t="s">
        <v>1107</v>
      </c>
      <c r="E267" s="32" t="s">
        <v>746</v>
      </c>
      <c r="F267" s="25" t="s">
        <v>82</v>
      </c>
      <c r="G267" s="26" t="s">
        <v>38</v>
      </c>
      <c r="H267" s="32"/>
      <c r="I267" s="32"/>
      <c r="J267" s="32"/>
      <c r="K267" s="32"/>
    </row>
    <row r="268" customFormat="false" ht="45" hidden="false" customHeight="true" outlineLevel="0" collapsed="false">
      <c r="A268" s="108" t="s">
        <v>812</v>
      </c>
      <c r="B268" s="23" t="s">
        <v>813</v>
      </c>
      <c r="C268" s="62" t="s">
        <v>497</v>
      </c>
      <c r="D268" s="23" t="s">
        <v>1107</v>
      </c>
      <c r="E268" s="23" t="s">
        <v>746</v>
      </c>
      <c r="F268" s="25" t="s">
        <v>89</v>
      </c>
      <c r="G268" s="26" t="s">
        <v>38</v>
      </c>
      <c r="H268" s="23"/>
      <c r="I268" s="23"/>
      <c r="J268" s="23"/>
      <c r="K268" s="23"/>
    </row>
    <row r="269" customFormat="false" ht="45" hidden="false" customHeight="true" outlineLevel="0" collapsed="false">
      <c r="A269" s="108" t="s">
        <v>815</v>
      </c>
      <c r="B269" s="32" t="s">
        <v>816</v>
      </c>
      <c r="C269" s="73" t="s">
        <v>497</v>
      </c>
      <c r="D269" s="32" t="s">
        <v>1107</v>
      </c>
      <c r="E269" s="32" t="s">
        <v>746</v>
      </c>
      <c r="F269" s="25" t="s">
        <v>89</v>
      </c>
      <c r="G269" s="26" t="s">
        <v>38</v>
      </c>
      <c r="H269" s="32"/>
      <c r="I269" s="32"/>
      <c r="J269" s="32"/>
      <c r="K269" s="32"/>
    </row>
    <row r="270" customFormat="false" ht="45" hidden="false" customHeight="true" outlineLevel="0" collapsed="false">
      <c r="A270" s="108" t="s">
        <v>818</v>
      </c>
      <c r="B270" s="23" t="s">
        <v>819</v>
      </c>
      <c r="C270" s="62" t="s">
        <v>497</v>
      </c>
      <c r="D270" s="23" t="s">
        <v>1107</v>
      </c>
      <c r="E270" s="23" t="s">
        <v>746</v>
      </c>
      <c r="F270" s="25" t="s">
        <v>82</v>
      </c>
      <c r="G270" s="26" t="s">
        <v>38</v>
      </c>
      <c r="H270" s="23"/>
      <c r="I270" s="23"/>
      <c r="J270" s="23"/>
      <c r="K270" s="23"/>
    </row>
    <row r="271" customFormat="false" ht="45" hidden="false" customHeight="true" outlineLevel="0" collapsed="false">
      <c r="A271" s="108" t="s">
        <v>822</v>
      </c>
      <c r="B271" s="32" t="s">
        <v>823</v>
      </c>
      <c r="C271" s="73" t="s">
        <v>497</v>
      </c>
      <c r="D271" s="32" t="s">
        <v>1107</v>
      </c>
      <c r="E271" s="32" t="s">
        <v>746</v>
      </c>
      <c r="F271" s="25" t="s">
        <v>82</v>
      </c>
      <c r="G271" s="26" t="s">
        <v>38</v>
      </c>
      <c r="H271" s="32"/>
      <c r="I271" s="32"/>
      <c r="J271" s="32"/>
      <c r="K271" s="32"/>
    </row>
    <row r="272" customFormat="false" ht="45" hidden="false" customHeight="true" outlineLevel="0" collapsed="false">
      <c r="A272" s="108" t="s">
        <v>825</v>
      </c>
      <c r="B272" s="23" t="s">
        <v>826</v>
      </c>
      <c r="C272" s="62" t="s">
        <v>497</v>
      </c>
      <c r="D272" s="23" t="s">
        <v>1107</v>
      </c>
      <c r="E272" s="23" t="s">
        <v>746</v>
      </c>
      <c r="F272" s="25" t="s">
        <v>82</v>
      </c>
      <c r="G272" s="26" t="s">
        <v>38</v>
      </c>
      <c r="H272" s="23"/>
      <c r="I272" s="23"/>
      <c r="J272" s="23"/>
      <c r="K272" s="23"/>
    </row>
    <row r="273" customFormat="false" ht="45" hidden="false" customHeight="true" outlineLevel="0" collapsed="false">
      <c r="A273" s="108" t="s">
        <v>828</v>
      </c>
      <c r="B273" s="32" t="s">
        <v>829</v>
      </c>
      <c r="C273" s="73" t="s">
        <v>497</v>
      </c>
      <c r="D273" s="32" t="s">
        <v>1107</v>
      </c>
      <c r="E273" s="32" t="s">
        <v>746</v>
      </c>
      <c r="F273" s="25" t="s">
        <v>82</v>
      </c>
      <c r="G273" s="26" t="s">
        <v>38</v>
      </c>
      <c r="H273" s="32"/>
      <c r="I273" s="32"/>
      <c r="J273" s="32"/>
      <c r="K273" s="32"/>
    </row>
    <row r="274" customFormat="false" ht="45" hidden="false" customHeight="true" outlineLevel="0" collapsed="false">
      <c r="A274" s="108" t="s">
        <v>831</v>
      </c>
      <c r="B274" s="23" t="s">
        <v>832</v>
      </c>
      <c r="C274" s="62" t="s">
        <v>497</v>
      </c>
      <c r="D274" s="23" t="s">
        <v>1107</v>
      </c>
      <c r="E274" s="23" t="s">
        <v>746</v>
      </c>
      <c r="F274" s="25" t="s">
        <v>82</v>
      </c>
      <c r="G274" s="26" t="s">
        <v>38</v>
      </c>
      <c r="H274" s="23"/>
      <c r="I274" s="23"/>
      <c r="J274" s="23"/>
      <c r="K274" s="23"/>
    </row>
    <row r="275" customFormat="false" ht="45" hidden="false" customHeight="true" outlineLevel="0" collapsed="false">
      <c r="A275" s="108" t="s">
        <v>834</v>
      </c>
      <c r="B275" s="32" t="s">
        <v>835</v>
      </c>
      <c r="C275" s="73" t="s">
        <v>497</v>
      </c>
      <c r="D275" s="32" t="s">
        <v>1107</v>
      </c>
      <c r="E275" s="32" t="s">
        <v>746</v>
      </c>
      <c r="F275" s="25" t="s">
        <v>82</v>
      </c>
      <c r="G275" s="26" t="s">
        <v>38</v>
      </c>
      <c r="H275" s="32"/>
      <c r="I275" s="32"/>
      <c r="J275" s="32"/>
      <c r="K275" s="32"/>
    </row>
    <row r="276" customFormat="false" ht="45" hidden="false" customHeight="true" outlineLevel="0" collapsed="false">
      <c r="A276" s="108" t="s">
        <v>837</v>
      </c>
      <c r="B276" s="23" t="s">
        <v>838</v>
      </c>
      <c r="C276" s="62" t="s">
        <v>497</v>
      </c>
      <c r="D276" s="23" t="s">
        <v>1107</v>
      </c>
      <c r="E276" s="23" t="s">
        <v>746</v>
      </c>
      <c r="F276" s="25" t="s">
        <v>89</v>
      </c>
      <c r="G276" s="26" t="s">
        <v>38</v>
      </c>
      <c r="H276" s="23"/>
      <c r="I276" s="23"/>
      <c r="J276" s="23"/>
      <c r="K276" s="23"/>
    </row>
    <row r="277" customFormat="false" ht="45" hidden="false" customHeight="true" outlineLevel="0" collapsed="false">
      <c r="A277" s="108" t="s">
        <v>840</v>
      </c>
      <c r="B277" s="32" t="s">
        <v>841</v>
      </c>
      <c r="C277" s="73" t="s">
        <v>497</v>
      </c>
      <c r="D277" s="32" t="s">
        <v>1107</v>
      </c>
      <c r="E277" s="32" t="s">
        <v>746</v>
      </c>
      <c r="F277" s="25" t="s">
        <v>82</v>
      </c>
      <c r="G277" s="26" t="s">
        <v>38</v>
      </c>
      <c r="H277" s="32"/>
      <c r="I277" s="32"/>
      <c r="J277" s="32"/>
      <c r="K277" s="32"/>
    </row>
    <row r="278" customFormat="false" ht="45" hidden="false" customHeight="true" outlineLevel="0" collapsed="false">
      <c r="A278" s="108" t="s">
        <v>843</v>
      </c>
      <c r="B278" s="23" t="s">
        <v>844</v>
      </c>
      <c r="C278" s="62" t="s">
        <v>497</v>
      </c>
      <c r="D278" s="23" t="s">
        <v>1107</v>
      </c>
      <c r="E278" s="23" t="s">
        <v>746</v>
      </c>
      <c r="F278" s="25" t="s">
        <v>82</v>
      </c>
      <c r="G278" s="26" t="s">
        <v>38</v>
      </c>
      <c r="H278" s="23"/>
      <c r="I278" s="23"/>
      <c r="J278" s="23"/>
      <c r="K278" s="23"/>
    </row>
    <row r="279" customFormat="false" ht="45" hidden="false" customHeight="true" outlineLevel="0" collapsed="false">
      <c r="A279" s="108" t="s">
        <v>846</v>
      </c>
      <c r="B279" s="32" t="s">
        <v>847</v>
      </c>
      <c r="C279" s="73" t="s">
        <v>497</v>
      </c>
      <c r="D279" s="32" t="s">
        <v>1107</v>
      </c>
      <c r="E279" s="32" t="s">
        <v>746</v>
      </c>
      <c r="F279" s="25" t="s">
        <v>82</v>
      </c>
      <c r="G279" s="26" t="s">
        <v>38</v>
      </c>
      <c r="H279" s="32"/>
      <c r="I279" s="32"/>
      <c r="J279" s="32"/>
      <c r="K279" s="32"/>
    </row>
    <row r="280" customFormat="false" ht="18" hidden="false" customHeight="true" outlineLevel="0" collapsed="false">
      <c r="A280" s="108" t="s">
        <v>849</v>
      </c>
      <c r="B280" s="108" t="s">
        <v>850</v>
      </c>
      <c r="C280" s="108" t="s">
        <v>497</v>
      </c>
      <c r="D280" s="108" t="s">
        <v>1107</v>
      </c>
      <c r="E280" s="108" t="s">
        <v>746</v>
      </c>
      <c r="F280" s="108" t="s">
        <v>82</v>
      </c>
      <c r="G280" s="108" t="s">
        <v>38</v>
      </c>
      <c r="H280" s="108"/>
      <c r="I280" s="108"/>
      <c r="J280" s="108"/>
      <c r="K280" s="108"/>
    </row>
    <row r="281" customFormat="false" ht="45" hidden="false" customHeight="true" outlineLevel="0" collapsed="false">
      <c r="A281" s="86" t="s">
        <v>1096</v>
      </c>
      <c r="B281" s="87"/>
      <c r="C281" s="87"/>
      <c r="D281" s="87"/>
      <c r="E281" s="87"/>
      <c r="F281" s="87"/>
      <c r="G281" s="87"/>
      <c r="H281" s="87"/>
      <c r="I281" s="87"/>
      <c r="J281" s="87"/>
      <c r="K281" s="88"/>
    </row>
    <row r="282" customFormat="false" ht="45" hidden="false" customHeight="true" outlineLevel="0" collapsed="false">
      <c r="A282" s="55" t="s">
        <v>854</v>
      </c>
      <c r="B282" s="23" t="s">
        <v>856</v>
      </c>
      <c r="C282" s="24" t="s">
        <v>79</v>
      </c>
      <c r="D282" s="23" t="s">
        <v>1097</v>
      </c>
      <c r="E282" s="23" t="s">
        <v>853</v>
      </c>
      <c r="F282" s="25" t="s">
        <v>82</v>
      </c>
      <c r="G282" s="26" t="s">
        <v>38</v>
      </c>
      <c r="H282" s="23"/>
      <c r="I282" s="23"/>
      <c r="J282" s="23"/>
      <c r="K282" s="23"/>
    </row>
    <row r="283" customFormat="false" ht="45" hidden="false" customHeight="true" outlineLevel="0" collapsed="false">
      <c r="A283" s="55" t="s">
        <v>858</v>
      </c>
      <c r="B283" s="32" t="s">
        <v>859</v>
      </c>
      <c r="C283" s="39" t="s">
        <v>79</v>
      </c>
      <c r="D283" s="32" t="s">
        <v>1097</v>
      </c>
      <c r="E283" s="32" t="s">
        <v>853</v>
      </c>
      <c r="F283" s="25" t="s">
        <v>82</v>
      </c>
      <c r="G283" s="26" t="s">
        <v>38</v>
      </c>
      <c r="H283" s="32"/>
      <c r="I283" s="32"/>
      <c r="J283" s="32"/>
      <c r="K283" s="32"/>
    </row>
    <row r="284" customFormat="false" ht="18" hidden="false" customHeight="true" outlineLevel="0" collapsed="false">
      <c r="A284" s="55" t="s">
        <v>861</v>
      </c>
      <c r="B284" s="55" t="s">
        <v>862</v>
      </c>
      <c r="C284" s="55" t="s">
        <v>79</v>
      </c>
      <c r="D284" s="55" t="s">
        <v>1097</v>
      </c>
      <c r="E284" s="55" t="s">
        <v>853</v>
      </c>
      <c r="F284" s="55" t="s">
        <v>89</v>
      </c>
      <c r="G284" s="55" t="s">
        <v>38</v>
      </c>
      <c r="H284" s="55"/>
      <c r="I284" s="55"/>
      <c r="J284" s="55"/>
      <c r="K284" s="55"/>
    </row>
    <row r="285" customFormat="false" ht="45" hidden="false" customHeight="true" outlineLevel="0" collapsed="false">
      <c r="A285" s="105" t="s">
        <v>1106</v>
      </c>
      <c r="B285" s="106"/>
      <c r="C285" s="106"/>
      <c r="D285" s="106"/>
      <c r="E285" s="106"/>
      <c r="F285" s="106"/>
      <c r="G285" s="106"/>
      <c r="H285" s="106"/>
      <c r="I285" s="106"/>
      <c r="J285" s="106"/>
      <c r="K285" s="107"/>
    </row>
    <row r="286" customFormat="false" ht="45" hidden="false" customHeight="true" outlineLevel="0" collapsed="false">
      <c r="A286" s="108" t="s">
        <v>864</v>
      </c>
      <c r="B286" s="23" t="s">
        <v>865</v>
      </c>
      <c r="C286" s="62" t="s">
        <v>497</v>
      </c>
      <c r="D286" s="23" t="s">
        <v>1107</v>
      </c>
      <c r="E286" s="23" t="s">
        <v>853</v>
      </c>
      <c r="F286" s="25" t="s">
        <v>82</v>
      </c>
      <c r="G286" s="26" t="s">
        <v>38</v>
      </c>
      <c r="H286" s="23"/>
      <c r="I286" s="23"/>
      <c r="J286" s="23"/>
      <c r="K286" s="23"/>
    </row>
    <row r="287" customFormat="false" ht="45" hidden="false" customHeight="true" outlineLevel="0" collapsed="false">
      <c r="A287" s="108" t="s">
        <v>867</v>
      </c>
      <c r="B287" s="32" t="s">
        <v>868</v>
      </c>
      <c r="C287" s="73" t="s">
        <v>497</v>
      </c>
      <c r="D287" s="32" t="s">
        <v>1107</v>
      </c>
      <c r="E287" s="32" t="s">
        <v>853</v>
      </c>
      <c r="F287" s="25" t="s">
        <v>82</v>
      </c>
      <c r="G287" s="26" t="s">
        <v>38</v>
      </c>
      <c r="H287" s="32"/>
      <c r="I287" s="32"/>
      <c r="J287" s="32"/>
      <c r="K287" s="32"/>
    </row>
    <row r="288" customFormat="false" ht="18" hidden="false" customHeight="true" outlineLevel="0" collapsed="false">
      <c r="A288" s="108" t="s">
        <v>870</v>
      </c>
      <c r="B288" s="108" t="s">
        <v>871</v>
      </c>
      <c r="C288" s="108" t="s">
        <v>497</v>
      </c>
      <c r="D288" s="108" t="s">
        <v>1107</v>
      </c>
      <c r="E288" s="108" t="s">
        <v>853</v>
      </c>
      <c r="F288" s="108" t="s">
        <v>89</v>
      </c>
      <c r="G288" s="108" t="s">
        <v>38</v>
      </c>
      <c r="H288" s="108"/>
      <c r="I288" s="108"/>
      <c r="J288" s="108"/>
      <c r="K288" s="108"/>
    </row>
    <row r="289" customFormat="false" ht="45" hidden="false" customHeight="true" outlineLevel="0" collapsed="false">
      <c r="A289" s="89" t="s">
        <v>1098</v>
      </c>
      <c r="B289" s="90"/>
      <c r="C289" s="90"/>
      <c r="D289" s="90"/>
      <c r="E289" s="90"/>
      <c r="F289" s="90"/>
      <c r="G289" s="90"/>
      <c r="H289" s="90"/>
      <c r="I289" s="90"/>
      <c r="J289" s="90"/>
      <c r="K289" s="91"/>
    </row>
    <row r="290" customFormat="false" ht="45" hidden="false" customHeight="true" outlineLevel="0" collapsed="false">
      <c r="A290" s="92" t="s">
        <v>873</v>
      </c>
      <c r="B290" s="23" t="s">
        <v>874</v>
      </c>
      <c r="C290" s="36" t="s">
        <v>93</v>
      </c>
      <c r="D290" s="23" t="s">
        <v>1099</v>
      </c>
      <c r="E290" s="23" t="s">
        <v>853</v>
      </c>
      <c r="F290" s="25" t="s">
        <v>82</v>
      </c>
      <c r="G290" s="26" t="s">
        <v>38</v>
      </c>
      <c r="H290" s="23"/>
      <c r="I290" s="23"/>
      <c r="J290" s="23"/>
      <c r="K290" s="23"/>
    </row>
    <row r="291" customFormat="false" ht="45" hidden="false" customHeight="true" outlineLevel="0" collapsed="false">
      <c r="A291" s="92" t="s">
        <v>876</v>
      </c>
      <c r="B291" s="32" t="s">
        <v>877</v>
      </c>
      <c r="C291" s="33" t="s">
        <v>93</v>
      </c>
      <c r="D291" s="32" t="s">
        <v>1099</v>
      </c>
      <c r="E291" s="32" t="s">
        <v>853</v>
      </c>
      <c r="F291" s="25" t="s">
        <v>82</v>
      </c>
      <c r="G291" s="26" t="s">
        <v>38</v>
      </c>
      <c r="H291" s="32"/>
      <c r="I291" s="32"/>
      <c r="J291" s="32"/>
      <c r="K291" s="32"/>
    </row>
    <row r="292" customFormat="false" ht="45" hidden="false" customHeight="true" outlineLevel="0" collapsed="false">
      <c r="A292" s="92" t="s">
        <v>879</v>
      </c>
      <c r="B292" s="23" t="s">
        <v>880</v>
      </c>
      <c r="C292" s="36" t="s">
        <v>93</v>
      </c>
      <c r="D292" s="23" t="s">
        <v>1099</v>
      </c>
      <c r="E292" s="23" t="s">
        <v>853</v>
      </c>
      <c r="F292" s="25" t="s">
        <v>89</v>
      </c>
      <c r="G292" s="26" t="s">
        <v>38</v>
      </c>
      <c r="H292" s="23"/>
      <c r="I292" s="23"/>
      <c r="J292" s="23"/>
      <c r="K292" s="23"/>
    </row>
    <row r="293" customFormat="false" ht="45" hidden="false" customHeight="true" outlineLevel="0" collapsed="false">
      <c r="A293" s="92" t="s">
        <v>882</v>
      </c>
      <c r="B293" s="32" t="s">
        <v>883</v>
      </c>
      <c r="C293" s="33" t="s">
        <v>93</v>
      </c>
      <c r="D293" s="32" t="s">
        <v>1099</v>
      </c>
      <c r="E293" s="32" t="s">
        <v>853</v>
      </c>
      <c r="F293" s="25" t="s">
        <v>82</v>
      </c>
      <c r="G293" s="26" t="s">
        <v>38</v>
      </c>
      <c r="H293" s="32"/>
      <c r="I293" s="32"/>
      <c r="J293" s="32"/>
      <c r="K293" s="32"/>
    </row>
    <row r="294" customFormat="false" ht="45" hidden="false" customHeight="true" outlineLevel="0" collapsed="false">
      <c r="A294" s="92" t="s">
        <v>885</v>
      </c>
      <c r="B294" s="23" t="s">
        <v>886</v>
      </c>
      <c r="C294" s="36" t="s">
        <v>93</v>
      </c>
      <c r="D294" s="23" t="s">
        <v>1099</v>
      </c>
      <c r="E294" s="23" t="s">
        <v>853</v>
      </c>
      <c r="F294" s="25" t="s">
        <v>82</v>
      </c>
      <c r="G294" s="26" t="s">
        <v>38</v>
      </c>
      <c r="H294" s="23"/>
      <c r="I294" s="23"/>
      <c r="J294" s="23"/>
      <c r="K294" s="23"/>
    </row>
    <row r="295" customFormat="false" ht="45" hidden="false" customHeight="true" outlineLevel="0" collapsed="false">
      <c r="A295" s="92" t="s">
        <v>888</v>
      </c>
      <c r="B295" s="32" t="s">
        <v>889</v>
      </c>
      <c r="C295" s="33" t="s">
        <v>93</v>
      </c>
      <c r="D295" s="32" t="s">
        <v>1099</v>
      </c>
      <c r="E295" s="32" t="s">
        <v>853</v>
      </c>
      <c r="F295" s="25" t="s">
        <v>82</v>
      </c>
      <c r="G295" s="26" t="s">
        <v>38</v>
      </c>
      <c r="H295" s="32"/>
      <c r="I295" s="32"/>
      <c r="J295" s="32"/>
      <c r="K295" s="32"/>
    </row>
    <row r="296" customFormat="false" ht="45" hidden="false" customHeight="true" outlineLevel="0" collapsed="false">
      <c r="A296" s="92" t="s">
        <v>891</v>
      </c>
      <c r="B296" s="23" t="s">
        <v>892</v>
      </c>
      <c r="C296" s="36" t="s">
        <v>93</v>
      </c>
      <c r="D296" s="23" t="s">
        <v>1099</v>
      </c>
      <c r="E296" s="23" t="s">
        <v>853</v>
      </c>
      <c r="F296" s="25" t="s">
        <v>82</v>
      </c>
      <c r="G296" s="26" t="s">
        <v>38</v>
      </c>
      <c r="H296" s="23"/>
      <c r="I296" s="23"/>
      <c r="J296" s="23"/>
      <c r="K296" s="23"/>
    </row>
    <row r="297" customFormat="false" ht="45" hidden="false" customHeight="true" outlineLevel="0" collapsed="false">
      <c r="A297" s="92" t="s">
        <v>894</v>
      </c>
      <c r="B297" s="32" t="s">
        <v>895</v>
      </c>
      <c r="C297" s="33" t="s">
        <v>93</v>
      </c>
      <c r="D297" s="32" t="s">
        <v>1099</v>
      </c>
      <c r="E297" s="32" t="s">
        <v>853</v>
      </c>
      <c r="F297" s="25" t="s">
        <v>82</v>
      </c>
      <c r="G297" s="26" t="s">
        <v>38</v>
      </c>
      <c r="H297" s="32"/>
      <c r="I297" s="32"/>
      <c r="J297" s="32"/>
      <c r="K297" s="32"/>
    </row>
    <row r="298" customFormat="false" ht="45" hidden="false" customHeight="true" outlineLevel="0" collapsed="false">
      <c r="A298" s="92" t="s">
        <v>897</v>
      </c>
      <c r="B298" s="23" t="s">
        <v>898</v>
      </c>
      <c r="C298" s="36" t="s">
        <v>93</v>
      </c>
      <c r="D298" s="23" t="s">
        <v>1099</v>
      </c>
      <c r="E298" s="23" t="s">
        <v>853</v>
      </c>
      <c r="F298" s="25" t="s">
        <v>82</v>
      </c>
      <c r="G298" s="26" t="s">
        <v>38</v>
      </c>
      <c r="H298" s="23"/>
      <c r="I298" s="23"/>
      <c r="J298" s="23"/>
      <c r="K298" s="23"/>
    </row>
    <row r="299" customFormat="false" ht="45" hidden="false" customHeight="true" outlineLevel="0" collapsed="false">
      <c r="A299" s="92" t="s">
        <v>900</v>
      </c>
      <c r="B299" s="32" t="s">
        <v>901</v>
      </c>
      <c r="C299" s="33" t="s">
        <v>93</v>
      </c>
      <c r="D299" s="32" t="s">
        <v>1099</v>
      </c>
      <c r="E299" s="32" t="s">
        <v>853</v>
      </c>
      <c r="F299" s="25" t="s">
        <v>82</v>
      </c>
      <c r="G299" s="26" t="s">
        <v>38</v>
      </c>
      <c r="H299" s="32"/>
      <c r="I299" s="32"/>
      <c r="J299" s="32"/>
      <c r="K299" s="32"/>
    </row>
    <row r="300" customFormat="false" ht="45" hidden="false" customHeight="true" outlineLevel="0" collapsed="false">
      <c r="A300" s="92" t="s">
        <v>903</v>
      </c>
      <c r="B300" s="23" t="s">
        <v>904</v>
      </c>
      <c r="C300" s="36" t="s">
        <v>93</v>
      </c>
      <c r="D300" s="23" t="s">
        <v>1099</v>
      </c>
      <c r="E300" s="23" t="s">
        <v>853</v>
      </c>
      <c r="F300" s="25" t="s">
        <v>82</v>
      </c>
      <c r="G300" s="26" t="s">
        <v>38</v>
      </c>
      <c r="H300" s="23"/>
      <c r="I300" s="23"/>
      <c r="J300" s="23"/>
      <c r="K300" s="23"/>
    </row>
    <row r="301" customFormat="false" ht="45" hidden="false" customHeight="true" outlineLevel="0" collapsed="false">
      <c r="A301" s="92" t="s">
        <v>906</v>
      </c>
      <c r="B301" s="32" t="s">
        <v>907</v>
      </c>
      <c r="C301" s="33" t="s">
        <v>93</v>
      </c>
      <c r="D301" s="32" t="s">
        <v>1099</v>
      </c>
      <c r="E301" s="32" t="s">
        <v>853</v>
      </c>
      <c r="F301" s="25" t="s">
        <v>82</v>
      </c>
      <c r="G301" s="26" t="s">
        <v>38</v>
      </c>
      <c r="H301" s="32"/>
      <c r="I301" s="32"/>
      <c r="J301" s="32"/>
      <c r="K301" s="32"/>
    </row>
    <row r="302" customFormat="false" ht="45" hidden="false" customHeight="true" outlineLevel="0" collapsed="false">
      <c r="A302" s="92" t="s">
        <v>909</v>
      </c>
      <c r="B302" s="23" t="s">
        <v>910</v>
      </c>
      <c r="C302" s="36" t="s">
        <v>93</v>
      </c>
      <c r="D302" s="23" t="s">
        <v>1099</v>
      </c>
      <c r="E302" s="23" t="s">
        <v>853</v>
      </c>
      <c r="F302" s="25" t="s">
        <v>82</v>
      </c>
      <c r="G302" s="26" t="s">
        <v>38</v>
      </c>
      <c r="H302" s="23"/>
      <c r="I302" s="23"/>
      <c r="J302" s="23"/>
      <c r="K302" s="23"/>
    </row>
    <row r="303" customFormat="false" ht="45" hidden="false" customHeight="true" outlineLevel="0" collapsed="false">
      <c r="A303" s="92" t="s">
        <v>912</v>
      </c>
      <c r="B303" s="32" t="s">
        <v>913</v>
      </c>
      <c r="C303" s="33" t="s">
        <v>93</v>
      </c>
      <c r="D303" s="32" t="s">
        <v>1099</v>
      </c>
      <c r="E303" s="32" t="s">
        <v>853</v>
      </c>
      <c r="F303" s="25" t="s">
        <v>82</v>
      </c>
      <c r="G303" s="26" t="s">
        <v>38</v>
      </c>
      <c r="H303" s="32"/>
      <c r="I303" s="32"/>
      <c r="J303" s="32"/>
      <c r="K303" s="32"/>
    </row>
    <row r="304" customFormat="false" ht="45" hidden="false" customHeight="true" outlineLevel="0" collapsed="false">
      <c r="A304" s="92" t="s">
        <v>915</v>
      </c>
      <c r="B304" s="23" t="s">
        <v>916</v>
      </c>
      <c r="C304" s="36" t="s">
        <v>93</v>
      </c>
      <c r="D304" s="23" t="s">
        <v>1099</v>
      </c>
      <c r="E304" s="23" t="s">
        <v>853</v>
      </c>
      <c r="F304" s="25" t="s">
        <v>82</v>
      </c>
      <c r="G304" s="26" t="s">
        <v>38</v>
      </c>
      <c r="H304" s="23"/>
      <c r="I304" s="23"/>
      <c r="J304" s="23"/>
      <c r="K304" s="23"/>
    </row>
    <row r="305" customFormat="false" ht="45" hidden="false" customHeight="true" outlineLevel="0" collapsed="false">
      <c r="A305" s="92" t="s">
        <v>919</v>
      </c>
      <c r="B305" s="32" t="s">
        <v>920</v>
      </c>
      <c r="C305" s="33" t="s">
        <v>93</v>
      </c>
      <c r="D305" s="32" t="s">
        <v>1099</v>
      </c>
      <c r="E305" s="32" t="s">
        <v>853</v>
      </c>
      <c r="F305" s="25" t="s">
        <v>82</v>
      </c>
      <c r="G305" s="26" t="s">
        <v>38</v>
      </c>
      <c r="H305" s="32"/>
      <c r="I305" s="32"/>
      <c r="J305" s="32"/>
      <c r="K305" s="32"/>
    </row>
    <row r="306" customFormat="false" ht="45" hidden="false" customHeight="true" outlineLevel="0" collapsed="false">
      <c r="A306" s="92" t="s">
        <v>922</v>
      </c>
      <c r="B306" s="23" t="s">
        <v>923</v>
      </c>
      <c r="C306" s="36" t="s">
        <v>93</v>
      </c>
      <c r="D306" s="23" t="s">
        <v>1099</v>
      </c>
      <c r="E306" s="23" t="s">
        <v>853</v>
      </c>
      <c r="F306" s="25" t="s">
        <v>82</v>
      </c>
      <c r="G306" s="26" t="s">
        <v>38</v>
      </c>
      <c r="H306" s="23"/>
      <c r="I306" s="23"/>
      <c r="J306" s="23"/>
      <c r="K306" s="23"/>
    </row>
    <row r="307" customFormat="false" ht="18" hidden="false" customHeight="true" outlineLevel="0" collapsed="false">
      <c r="A307" s="92" t="s">
        <v>925</v>
      </c>
      <c r="B307" s="92" t="s">
        <v>926</v>
      </c>
      <c r="C307" s="92" t="s">
        <v>93</v>
      </c>
      <c r="D307" s="92" t="s">
        <v>1099</v>
      </c>
      <c r="E307" s="92" t="s">
        <v>853</v>
      </c>
      <c r="F307" s="92" t="s">
        <v>82</v>
      </c>
      <c r="G307" s="92" t="s">
        <v>38</v>
      </c>
      <c r="H307" s="92"/>
      <c r="I307" s="92"/>
      <c r="J307" s="92"/>
      <c r="K307" s="92"/>
    </row>
    <row r="308" customFormat="false" ht="45" hidden="false" customHeight="true" outlineLevel="0" collapsed="false">
      <c r="A308" s="105" t="s">
        <v>1106</v>
      </c>
      <c r="B308" s="106"/>
      <c r="C308" s="106"/>
      <c r="D308" s="106"/>
      <c r="E308" s="106"/>
      <c r="F308" s="106"/>
      <c r="G308" s="106"/>
      <c r="H308" s="106"/>
      <c r="I308" s="106"/>
      <c r="J308" s="106"/>
      <c r="K308" s="107"/>
    </row>
    <row r="309" customFormat="false" ht="18" hidden="false" customHeight="true" outlineLevel="0" collapsed="false">
      <c r="A309" s="108" t="s">
        <v>928</v>
      </c>
      <c r="B309" s="108" t="s">
        <v>929</v>
      </c>
      <c r="C309" s="108" t="s">
        <v>497</v>
      </c>
      <c r="D309" s="108" t="s">
        <v>1107</v>
      </c>
      <c r="E309" s="108" t="s">
        <v>853</v>
      </c>
      <c r="F309" s="108" t="s">
        <v>82</v>
      </c>
      <c r="G309" s="108" t="s">
        <v>38</v>
      </c>
      <c r="H309" s="108"/>
      <c r="I309" s="108"/>
      <c r="J309" s="108"/>
      <c r="K309" s="108"/>
    </row>
    <row r="310" customFormat="false" ht="45" hidden="false" customHeight="true" outlineLevel="0" collapsed="false">
      <c r="A310" s="89" t="s">
        <v>1098</v>
      </c>
      <c r="B310" s="90"/>
      <c r="C310" s="90"/>
      <c r="D310" s="90"/>
      <c r="E310" s="90"/>
      <c r="F310" s="90"/>
      <c r="G310" s="90"/>
      <c r="H310" s="90"/>
      <c r="I310" s="90"/>
      <c r="J310" s="90"/>
      <c r="K310" s="91"/>
    </row>
    <row r="311" customFormat="false" ht="45" hidden="false" customHeight="true" outlineLevel="0" collapsed="false">
      <c r="A311" s="92" t="s">
        <v>932</v>
      </c>
      <c r="B311" s="32" t="s">
        <v>933</v>
      </c>
      <c r="C311" s="33" t="s">
        <v>93</v>
      </c>
      <c r="D311" s="32" t="s">
        <v>1099</v>
      </c>
      <c r="E311" s="32" t="s">
        <v>853</v>
      </c>
      <c r="F311" s="25" t="s">
        <v>82</v>
      </c>
      <c r="G311" s="26" t="s">
        <v>38</v>
      </c>
      <c r="H311" s="32"/>
      <c r="I311" s="32"/>
      <c r="J311" s="32"/>
      <c r="K311" s="32"/>
    </row>
    <row r="312" customFormat="false" ht="18" hidden="false" customHeight="true" outlineLevel="0" collapsed="false">
      <c r="A312" s="92" t="s">
        <v>936</v>
      </c>
      <c r="B312" s="92" t="s">
        <v>937</v>
      </c>
      <c r="C312" s="92" t="s">
        <v>93</v>
      </c>
      <c r="D312" s="92" t="s">
        <v>1099</v>
      </c>
      <c r="E312" s="92" t="s">
        <v>853</v>
      </c>
      <c r="F312" s="92" t="s">
        <v>82</v>
      </c>
      <c r="G312" s="92" t="s">
        <v>38</v>
      </c>
      <c r="H312" s="92"/>
      <c r="I312" s="92"/>
      <c r="J312" s="92"/>
      <c r="K312" s="92"/>
    </row>
    <row r="313" customFormat="false" ht="45" hidden="false" customHeight="true" outlineLevel="0" collapsed="false">
      <c r="A313" s="86" t="s">
        <v>1096</v>
      </c>
      <c r="B313" s="87"/>
      <c r="C313" s="87"/>
      <c r="D313" s="87"/>
      <c r="E313" s="87"/>
      <c r="F313" s="87"/>
      <c r="G313" s="87"/>
      <c r="H313" s="87"/>
      <c r="I313" s="87"/>
      <c r="J313" s="87"/>
      <c r="K313" s="88"/>
    </row>
    <row r="314" customFormat="false" ht="45" hidden="false" customHeight="true" outlineLevel="0" collapsed="false">
      <c r="A314" s="55" t="s">
        <v>940</v>
      </c>
      <c r="B314" s="23" t="s">
        <v>942</v>
      </c>
      <c r="C314" s="24" t="s">
        <v>79</v>
      </c>
      <c r="D314" s="23" t="s">
        <v>1097</v>
      </c>
      <c r="E314" s="23" t="s">
        <v>939</v>
      </c>
      <c r="F314" s="25" t="s">
        <v>82</v>
      </c>
      <c r="G314" s="26" t="s">
        <v>38</v>
      </c>
      <c r="H314" s="23"/>
      <c r="I314" s="23"/>
      <c r="J314" s="23"/>
      <c r="K314" s="23"/>
    </row>
    <row r="315" customFormat="false" ht="45" hidden="false" customHeight="true" outlineLevel="0" collapsed="false">
      <c r="A315" s="55" t="s">
        <v>944</v>
      </c>
      <c r="B315" s="32" t="s">
        <v>945</v>
      </c>
      <c r="C315" s="39" t="s">
        <v>79</v>
      </c>
      <c r="D315" s="32" t="s">
        <v>1097</v>
      </c>
      <c r="E315" s="32" t="s">
        <v>939</v>
      </c>
      <c r="F315" s="25" t="s">
        <v>82</v>
      </c>
      <c r="G315" s="26" t="s">
        <v>38</v>
      </c>
      <c r="H315" s="32"/>
      <c r="I315" s="32"/>
      <c r="J315" s="32"/>
      <c r="K315" s="32"/>
    </row>
    <row r="316" customFormat="false" ht="45" hidden="false" customHeight="true" outlineLevel="0" collapsed="false">
      <c r="A316" s="55" t="s">
        <v>947</v>
      </c>
      <c r="B316" s="23" t="s">
        <v>948</v>
      </c>
      <c r="C316" s="24" t="s">
        <v>79</v>
      </c>
      <c r="D316" s="23" t="s">
        <v>1097</v>
      </c>
      <c r="E316" s="23" t="s">
        <v>939</v>
      </c>
      <c r="F316" s="25" t="s">
        <v>82</v>
      </c>
      <c r="G316" s="26" t="s">
        <v>38</v>
      </c>
      <c r="H316" s="23"/>
      <c r="I316" s="23"/>
      <c r="J316" s="23"/>
      <c r="K316" s="23"/>
    </row>
    <row r="317" customFormat="false" ht="45" hidden="false" customHeight="true" outlineLevel="0" collapsed="false">
      <c r="A317" s="55" t="s">
        <v>950</v>
      </c>
      <c r="B317" s="32" t="s">
        <v>951</v>
      </c>
      <c r="C317" s="39" t="s">
        <v>79</v>
      </c>
      <c r="D317" s="32" t="s">
        <v>1097</v>
      </c>
      <c r="E317" s="32" t="s">
        <v>939</v>
      </c>
      <c r="F317" s="25" t="s">
        <v>82</v>
      </c>
      <c r="G317" s="26" t="s">
        <v>38</v>
      </c>
      <c r="H317" s="32"/>
      <c r="I317" s="32"/>
      <c r="J317" s="32"/>
      <c r="K317" s="32"/>
    </row>
    <row r="318" customFormat="false" ht="45" hidden="false" customHeight="true" outlineLevel="0" collapsed="false">
      <c r="A318" s="55" t="s">
        <v>953</v>
      </c>
      <c r="B318" s="23" t="s">
        <v>954</v>
      </c>
      <c r="C318" s="24" t="s">
        <v>79</v>
      </c>
      <c r="D318" s="23" t="s">
        <v>1097</v>
      </c>
      <c r="E318" s="23" t="s">
        <v>939</v>
      </c>
      <c r="F318" s="25" t="s">
        <v>82</v>
      </c>
      <c r="G318" s="26" t="s">
        <v>38</v>
      </c>
      <c r="H318" s="23"/>
      <c r="I318" s="23"/>
      <c r="J318" s="23"/>
      <c r="K318" s="23"/>
    </row>
    <row r="319" customFormat="false" ht="45" hidden="false" customHeight="true" outlineLevel="0" collapsed="false">
      <c r="A319" s="55" t="s">
        <v>956</v>
      </c>
      <c r="B319" s="32" t="s">
        <v>957</v>
      </c>
      <c r="C319" s="39" t="s">
        <v>79</v>
      </c>
      <c r="D319" s="32" t="s">
        <v>1097</v>
      </c>
      <c r="E319" s="32" t="s">
        <v>939</v>
      </c>
      <c r="F319" s="25" t="s">
        <v>89</v>
      </c>
      <c r="G319" s="26" t="s">
        <v>38</v>
      </c>
      <c r="H319" s="32"/>
      <c r="I319" s="32"/>
      <c r="J319" s="32"/>
      <c r="K319" s="32"/>
    </row>
    <row r="320" customFormat="false" ht="18" hidden="false" customHeight="true" outlineLevel="0" collapsed="false">
      <c r="A320" s="55" t="s">
        <v>959</v>
      </c>
      <c r="B320" s="55" t="s">
        <v>960</v>
      </c>
      <c r="C320" s="55" t="s">
        <v>79</v>
      </c>
      <c r="D320" s="55" t="s">
        <v>1097</v>
      </c>
      <c r="E320" s="55" t="s">
        <v>939</v>
      </c>
      <c r="F320" s="55" t="s">
        <v>89</v>
      </c>
      <c r="G320" s="55" t="s">
        <v>38</v>
      </c>
      <c r="H320" s="55"/>
      <c r="I320" s="55"/>
      <c r="J320" s="55"/>
      <c r="K320" s="55"/>
    </row>
    <row r="321" customFormat="false" ht="45" hidden="false" customHeight="true" outlineLevel="0" collapsed="false">
      <c r="A321" s="89" t="s">
        <v>1098</v>
      </c>
      <c r="B321" s="90"/>
      <c r="C321" s="90"/>
      <c r="D321" s="90"/>
      <c r="E321" s="90"/>
      <c r="F321" s="90"/>
      <c r="G321" s="90"/>
      <c r="H321" s="90"/>
      <c r="I321" s="90"/>
      <c r="J321" s="90"/>
      <c r="K321" s="91"/>
    </row>
    <row r="322" customFormat="false" ht="45" hidden="false" customHeight="true" outlineLevel="0" collapsed="false">
      <c r="A322" s="92" t="s">
        <v>962</v>
      </c>
      <c r="B322" s="23" t="s">
        <v>963</v>
      </c>
      <c r="C322" s="36" t="s">
        <v>93</v>
      </c>
      <c r="D322" s="23" t="s">
        <v>1099</v>
      </c>
      <c r="E322" s="23" t="s">
        <v>939</v>
      </c>
      <c r="F322" s="25" t="s">
        <v>82</v>
      </c>
      <c r="G322" s="26" t="s">
        <v>38</v>
      </c>
      <c r="H322" s="23"/>
      <c r="I322" s="23"/>
      <c r="J322" s="23"/>
      <c r="K322" s="23"/>
    </row>
    <row r="323" customFormat="false" ht="45" hidden="false" customHeight="true" outlineLevel="0" collapsed="false">
      <c r="A323" s="92" t="s">
        <v>965</v>
      </c>
      <c r="B323" s="32" t="s">
        <v>966</v>
      </c>
      <c r="C323" s="33" t="s">
        <v>93</v>
      </c>
      <c r="D323" s="32" t="s">
        <v>1099</v>
      </c>
      <c r="E323" s="32" t="s">
        <v>939</v>
      </c>
      <c r="F323" s="25" t="s">
        <v>82</v>
      </c>
      <c r="G323" s="26" t="s">
        <v>38</v>
      </c>
      <c r="H323" s="32"/>
      <c r="I323" s="32"/>
      <c r="J323" s="32"/>
      <c r="K323" s="32"/>
    </row>
    <row r="324" customFormat="false" ht="18" hidden="false" customHeight="true" outlineLevel="0" collapsed="false">
      <c r="A324" s="92" t="s">
        <v>968</v>
      </c>
      <c r="B324" s="92" t="s">
        <v>969</v>
      </c>
      <c r="C324" s="92" t="s">
        <v>93</v>
      </c>
      <c r="D324" s="92" t="s">
        <v>1099</v>
      </c>
      <c r="E324" s="92" t="s">
        <v>939</v>
      </c>
      <c r="F324" s="92" t="s">
        <v>82</v>
      </c>
      <c r="G324" s="92" t="s">
        <v>38</v>
      </c>
      <c r="H324" s="92"/>
      <c r="I324" s="92"/>
      <c r="J324" s="92"/>
      <c r="K324" s="92"/>
    </row>
    <row r="325" customFormat="false" ht="45" hidden="false" customHeight="true" outlineLevel="0" collapsed="false">
      <c r="A325" s="86" t="s">
        <v>1096</v>
      </c>
      <c r="B325" s="87"/>
      <c r="C325" s="87"/>
      <c r="D325" s="87"/>
      <c r="E325" s="87"/>
      <c r="F325" s="87"/>
      <c r="G325" s="87"/>
      <c r="H325" s="87"/>
      <c r="I325" s="87"/>
      <c r="J325" s="87"/>
      <c r="K325" s="88"/>
    </row>
    <row r="326" customFormat="false" ht="45" hidden="false" customHeight="true" outlineLevel="0" collapsed="false">
      <c r="A326" s="55" t="s">
        <v>972</v>
      </c>
      <c r="B326" s="23" t="s">
        <v>973</v>
      </c>
      <c r="C326" s="24" t="s">
        <v>79</v>
      </c>
      <c r="D326" s="23" t="s">
        <v>1097</v>
      </c>
      <c r="E326" s="23" t="s">
        <v>939</v>
      </c>
      <c r="F326" s="25" t="s">
        <v>82</v>
      </c>
      <c r="G326" s="26" t="s">
        <v>38</v>
      </c>
      <c r="H326" s="23"/>
      <c r="I326" s="23"/>
      <c r="J326" s="23"/>
      <c r="K326" s="23"/>
    </row>
    <row r="327" customFormat="false" ht="45" hidden="false" customHeight="true" outlineLevel="0" collapsed="false">
      <c r="A327" s="55" t="s">
        <v>975</v>
      </c>
      <c r="B327" s="32" t="s">
        <v>976</v>
      </c>
      <c r="C327" s="39" t="s">
        <v>79</v>
      </c>
      <c r="D327" s="32" t="s">
        <v>1097</v>
      </c>
      <c r="E327" s="32" t="s">
        <v>939</v>
      </c>
      <c r="F327" s="25" t="s">
        <v>82</v>
      </c>
      <c r="G327" s="26" t="s">
        <v>38</v>
      </c>
      <c r="H327" s="32"/>
      <c r="I327" s="32"/>
      <c r="J327" s="32"/>
      <c r="K327" s="32"/>
    </row>
    <row r="328" customFormat="false" ht="45" hidden="false" customHeight="true" outlineLevel="0" collapsed="false">
      <c r="A328" s="55" t="s">
        <v>978</v>
      </c>
      <c r="B328" s="23" t="s">
        <v>979</v>
      </c>
      <c r="C328" s="24" t="s">
        <v>79</v>
      </c>
      <c r="D328" s="23" t="s">
        <v>1097</v>
      </c>
      <c r="E328" s="23" t="s">
        <v>939</v>
      </c>
      <c r="F328" s="25" t="s">
        <v>82</v>
      </c>
      <c r="G328" s="26" t="s">
        <v>38</v>
      </c>
      <c r="H328" s="23"/>
      <c r="I328" s="23"/>
      <c r="J328" s="23"/>
      <c r="K328" s="23"/>
    </row>
    <row r="329" customFormat="false" ht="45" hidden="false" customHeight="true" outlineLevel="0" collapsed="false">
      <c r="A329" s="55" t="s">
        <v>981</v>
      </c>
      <c r="B329" s="32" t="s">
        <v>982</v>
      </c>
      <c r="C329" s="39" t="s">
        <v>79</v>
      </c>
      <c r="D329" s="32" t="s">
        <v>1097</v>
      </c>
      <c r="E329" s="32" t="s">
        <v>939</v>
      </c>
      <c r="F329" s="25" t="s">
        <v>82</v>
      </c>
      <c r="G329" s="26" t="s">
        <v>38</v>
      </c>
      <c r="H329" s="32"/>
      <c r="I329" s="32"/>
      <c r="J329" s="32"/>
      <c r="K329" s="32"/>
    </row>
    <row r="330" customFormat="false" ht="45" hidden="false" customHeight="true" outlineLevel="0" collapsed="false">
      <c r="A330" s="55" t="s">
        <v>984</v>
      </c>
      <c r="B330" s="23" t="s">
        <v>985</v>
      </c>
      <c r="C330" s="24" t="s">
        <v>79</v>
      </c>
      <c r="D330" s="23" t="s">
        <v>1097</v>
      </c>
      <c r="E330" s="23" t="s">
        <v>939</v>
      </c>
      <c r="F330" s="25" t="s">
        <v>82</v>
      </c>
      <c r="G330" s="26" t="s">
        <v>38</v>
      </c>
      <c r="H330" s="23"/>
      <c r="I330" s="23"/>
      <c r="J330" s="23"/>
      <c r="K330" s="23"/>
    </row>
    <row r="331" customFormat="false" ht="18" hidden="false" customHeight="true" outlineLevel="0" collapsed="false">
      <c r="A331" s="55" t="s">
        <v>987</v>
      </c>
      <c r="B331" s="55" t="s">
        <v>988</v>
      </c>
      <c r="C331" s="55" t="s">
        <v>79</v>
      </c>
      <c r="D331" s="55" t="s">
        <v>1097</v>
      </c>
      <c r="E331" s="55" t="s">
        <v>939</v>
      </c>
      <c r="F331" s="55" t="s">
        <v>82</v>
      </c>
      <c r="G331" s="55" t="s">
        <v>38</v>
      </c>
      <c r="H331" s="55"/>
      <c r="I331" s="55"/>
      <c r="J331" s="55"/>
      <c r="K331" s="55"/>
    </row>
    <row r="332" customFormat="false" ht="45" hidden="false" customHeight="true" outlineLevel="0" collapsed="false">
      <c r="A332" s="93" t="s">
        <v>1100</v>
      </c>
      <c r="B332" s="94"/>
      <c r="C332" s="94"/>
      <c r="D332" s="94"/>
      <c r="E332" s="94"/>
      <c r="F332" s="94"/>
      <c r="G332" s="94"/>
      <c r="H332" s="94"/>
      <c r="I332" s="94"/>
      <c r="J332" s="94"/>
      <c r="K332" s="95"/>
    </row>
    <row r="333" customFormat="false" ht="18" hidden="false" customHeight="true" outlineLevel="0" collapsed="false">
      <c r="A333" s="49" t="s">
        <v>990</v>
      </c>
      <c r="B333" s="49" t="s">
        <v>991</v>
      </c>
      <c r="C333" s="49" t="s">
        <v>104</v>
      </c>
      <c r="D333" s="49" t="s">
        <v>1101</v>
      </c>
      <c r="E333" s="49" t="s">
        <v>939</v>
      </c>
      <c r="F333" s="49" t="s">
        <v>82</v>
      </c>
      <c r="G333" s="49" t="s">
        <v>38</v>
      </c>
      <c r="H333" s="49"/>
      <c r="I333" s="49"/>
      <c r="J333" s="49"/>
      <c r="K333" s="49"/>
    </row>
    <row r="334" customFormat="false" ht="45" hidden="false" customHeight="true" outlineLevel="0" collapsed="false">
      <c r="A334" s="89" t="s">
        <v>1098</v>
      </c>
      <c r="B334" s="90"/>
      <c r="C334" s="90"/>
      <c r="D334" s="90"/>
      <c r="E334" s="90"/>
      <c r="F334" s="90"/>
      <c r="G334" s="90"/>
      <c r="H334" s="90"/>
      <c r="I334" s="90"/>
      <c r="J334" s="90"/>
      <c r="K334" s="91"/>
    </row>
    <row r="335" customFormat="false" ht="18" hidden="false" customHeight="true" outlineLevel="0" collapsed="false">
      <c r="A335" s="92" t="s">
        <v>993</v>
      </c>
      <c r="B335" s="92" t="s">
        <v>994</v>
      </c>
      <c r="C335" s="92" t="s">
        <v>93</v>
      </c>
      <c r="D335" s="92" t="s">
        <v>1099</v>
      </c>
      <c r="E335" s="92" t="s">
        <v>939</v>
      </c>
      <c r="F335" s="92" t="s">
        <v>82</v>
      </c>
      <c r="G335" s="92" t="s">
        <v>38</v>
      </c>
      <c r="H335" s="92"/>
      <c r="I335" s="92"/>
      <c r="J335" s="92"/>
      <c r="K335" s="92"/>
    </row>
    <row r="336" customFormat="false" ht="45" hidden="false" customHeight="true" outlineLevel="0" collapsed="false">
      <c r="A336" s="93" t="s">
        <v>1100</v>
      </c>
      <c r="B336" s="94"/>
      <c r="C336" s="94"/>
      <c r="D336" s="94"/>
      <c r="E336" s="94"/>
      <c r="F336" s="94"/>
      <c r="G336" s="94"/>
      <c r="H336" s="94"/>
      <c r="I336" s="94"/>
      <c r="J336" s="94"/>
      <c r="K336" s="95"/>
    </row>
    <row r="337" customFormat="false" ht="45" hidden="false" customHeight="true" outlineLevel="0" collapsed="false">
      <c r="A337" s="49" t="s">
        <v>996</v>
      </c>
      <c r="B337" s="32" t="s">
        <v>997</v>
      </c>
      <c r="C337" s="44" t="s">
        <v>104</v>
      </c>
      <c r="D337" s="32" t="s">
        <v>1101</v>
      </c>
      <c r="E337" s="32" t="s">
        <v>939</v>
      </c>
      <c r="F337" s="25" t="s">
        <v>82</v>
      </c>
      <c r="G337" s="26" t="s">
        <v>38</v>
      </c>
      <c r="H337" s="32"/>
      <c r="I337" s="32"/>
      <c r="J337" s="32"/>
      <c r="K337" s="32"/>
    </row>
    <row r="338" customFormat="false" ht="18" hidden="false" customHeight="true" outlineLevel="0" collapsed="false">
      <c r="A338" s="49" t="s">
        <v>999</v>
      </c>
      <c r="B338" s="49" t="s">
        <v>1000</v>
      </c>
      <c r="C338" s="49" t="s">
        <v>104</v>
      </c>
      <c r="D338" s="49" t="s">
        <v>1101</v>
      </c>
      <c r="E338" s="49" t="s">
        <v>939</v>
      </c>
      <c r="F338" s="49" t="s">
        <v>82</v>
      </c>
      <c r="G338" s="49" t="s">
        <v>38</v>
      </c>
      <c r="H338" s="49"/>
      <c r="I338" s="49"/>
      <c r="J338" s="49"/>
      <c r="K338" s="49"/>
    </row>
    <row r="339" customFormat="false" ht="45" hidden="false" customHeight="true" outlineLevel="0" collapsed="false">
      <c r="A339" s="86" t="s">
        <v>1096</v>
      </c>
      <c r="B339" s="87"/>
      <c r="C339" s="87"/>
      <c r="D339" s="87"/>
      <c r="E339" s="87"/>
      <c r="F339" s="87"/>
      <c r="G339" s="87"/>
      <c r="H339" s="87"/>
      <c r="I339" s="87"/>
      <c r="J339" s="87"/>
      <c r="K339" s="88"/>
    </row>
    <row r="340" customFormat="false" ht="45" hidden="false" customHeight="true" outlineLevel="0" collapsed="false">
      <c r="A340" s="55" t="s">
        <v>1002</v>
      </c>
      <c r="B340" s="23" t="s">
        <v>1003</v>
      </c>
      <c r="C340" s="24" t="s">
        <v>79</v>
      </c>
      <c r="D340" s="23" t="s">
        <v>1097</v>
      </c>
      <c r="E340" s="23" t="s">
        <v>939</v>
      </c>
      <c r="F340" s="25" t="s">
        <v>82</v>
      </c>
      <c r="G340" s="26" t="s">
        <v>38</v>
      </c>
      <c r="H340" s="23"/>
      <c r="I340" s="23"/>
      <c r="J340" s="23"/>
      <c r="K340" s="23"/>
    </row>
    <row r="341" customFormat="false" ht="45" hidden="false" customHeight="true" outlineLevel="0" collapsed="false">
      <c r="A341" s="55" t="s">
        <v>1006</v>
      </c>
      <c r="B341" s="32" t="s">
        <v>1007</v>
      </c>
      <c r="C341" s="39" t="s">
        <v>79</v>
      </c>
      <c r="D341" s="32" t="s">
        <v>1097</v>
      </c>
      <c r="E341" s="32" t="s">
        <v>939</v>
      </c>
      <c r="F341" s="25" t="s">
        <v>82</v>
      </c>
      <c r="G341" s="26" t="s">
        <v>38</v>
      </c>
      <c r="H341" s="32"/>
      <c r="I341" s="32"/>
      <c r="J341" s="32"/>
      <c r="K341" s="32"/>
    </row>
    <row r="342" customFormat="false" ht="45" hidden="false" customHeight="true" outlineLevel="0" collapsed="false">
      <c r="A342" s="55" t="s">
        <v>1009</v>
      </c>
      <c r="B342" s="23" t="s">
        <v>1010</v>
      </c>
      <c r="C342" s="24" t="s">
        <v>79</v>
      </c>
      <c r="D342" s="23" t="s">
        <v>1097</v>
      </c>
      <c r="E342" s="23" t="s">
        <v>939</v>
      </c>
      <c r="F342" s="25" t="s">
        <v>82</v>
      </c>
      <c r="G342" s="26" t="s">
        <v>38</v>
      </c>
      <c r="H342" s="23"/>
      <c r="I342" s="23"/>
      <c r="J342" s="23"/>
      <c r="K342" s="23"/>
    </row>
    <row r="343" customFormat="false" ht="45" hidden="false" customHeight="true" outlineLevel="0" collapsed="false">
      <c r="A343" s="55" t="s">
        <v>1012</v>
      </c>
      <c r="B343" s="32" t="s">
        <v>1013</v>
      </c>
      <c r="C343" s="39" t="s">
        <v>79</v>
      </c>
      <c r="D343" s="32" t="s">
        <v>1097</v>
      </c>
      <c r="E343" s="32" t="s">
        <v>939</v>
      </c>
      <c r="F343" s="25" t="s">
        <v>82</v>
      </c>
      <c r="G343" s="26" t="s">
        <v>38</v>
      </c>
      <c r="H343" s="32"/>
      <c r="I343" s="32"/>
      <c r="J343" s="32"/>
      <c r="K343" s="32"/>
    </row>
    <row r="344" customFormat="false" ht="45" hidden="false" customHeight="true" outlineLevel="0" collapsed="false">
      <c r="A344" s="55" t="s">
        <v>1015</v>
      </c>
      <c r="B344" s="23" t="s">
        <v>1016</v>
      </c>
      <c r="C344" s="24" t="s">
        <v>79</v>
      </c>
      <c r="D344" s="23" t="s">
        <v>1097</v>
      </c>
      <c r="E344" s="23" t="s">
        <v>939</v>
      </c>
      <c r="F344" s="25" t="s">
        <v>82</v>
      </c>
      <c r="G344" s="26" t="s">
        <v>38</v>
      </c>
      <c r="H344" s="23"/>
      <c r="I344" s="23"/>
      <c r="J344" s="23"/>
      <c r="K344" s="23"/>
    </row>
    <row r="345" customFormat="false" ht="45" hidden="false" customHeight="true" outlineLevel="0" collapsed="false">
      <c r="A345" s="55" t="s">
        <v>1018</v>
      </c>
      <c r="B345" s="32" t="s">
        <v>1019</v>
      </c>
      <c r="C345" s="39" t="s">
        <v>79</v>
      </c>
      <c r="D345" s="32" t="s">
        <v>1097</v>
      </c>
      <c r="E345" s="32" t="s">
        <v>939</v>
      </c>
      <c r="F345" s="25" t="s">
        <v>82</v>
      </c>
      <c r="G345" s="26" t="s">
        <v>38</v>
      </c>
      <c r="H345" s="32"/>
      <c r="I345" s="32"/>
      <c r="J345" s="32"/>
      <c r="K345" s="32"/>
    </row>
    <row r="346" customFormat="false" ht="45" hidden="false" customHeight="true" outlineLevel="0" collapsed="false">
      <c r="A346" s="55" t="s">
        <v>1021</v>
      </c>
      <c r="B346" s="23" t="s">
        <v>1022</v>
      </c>
      <c r="C346" s="24" t="s">
        <v>79</v>
      </c>
      <c r="D346" s="23" t="s">
        <v>1097</v>
      </c>
      <c r="E346" s="23" t="s">
        <v>939</v>
      </c>
      <c r="F346" s="25" t="s">
        <v>89</v>
      </c>
      <c r="G346" s="26" t="s">
        <v>38</v>
      </c>
      <c r="H346" s="23"/>
      <c r="I346" s="23"/>
      <c r="J346" s="23"/>
      <c r="K346" s="23"/>
    </row>
    <row r="347" customFormat="false" ht="45" hidden="false" customHeight="true" outlineLevel="0" collapsed="false">
      <c r="A347" s="55" t="s">
        <v>1024</v>
      </c>
      <c r="B347" s="32" t="s">
        <v>1025</v>
      </c>
      <c r="C347" s="39" t="s">
        <v>79</v>
      </c>
      <c r="D347" s="32" t="s">
        <v>1097</v>
      </c>
      <c r="E347" s="32" t="s">
        <v>939</v>
      </c>
      <c r="F347" s="25" t="s">
        <v>82</v>
      </c>
      <c r="G347" s="26" t="s">
        <v>38</v>
      </c>
      <c r="H347" s="32"/>
      <c r="I347" s="32"/>
      <c r="J347" s="32"/>
      <c r="K347" s="32"/>
    </row>
    <row r="348" customFormat="false" ht="18" hidden="false" customHeight="true" outlineLevel="0" collapsed="false">
      <c r="A348" s="55" t="s">
        <v>1028</v>
      </c>
      <c r="B348" s="55" t="s">
        <v>1029</v>
      </c>
      <c r="C348" s="55" t="s">
        <v>79</v>
      </c>
      <c r="D348" s="55" t="s">
        <v>1097</v>
      </c>
      <c r="E348" s="55" t="s">
        <v>939</v>
      </c>
      <c r="F348" s="55" t="s">
        <v>82</v>
      </c>
      <c r="G348" s="55" t="s">
        <v>38</v>
      </c>
      <c r="H348" s="55"/>
      <c r="I348" s="55"/>
      <c r="J348" s="55"/>
      <c r="K348" s="55"/>
    </row>
    <row r="349" customFormat="false" ht="45" hidden="false" customHeight="true" outlineLevel="0" collapsed="false">
      <c r="A349" s="89" t="s">
        <v>1098</v>
      </c>
      <c r="B349" s="90"/>
      <c r="C349" s="90"/>
      <c r="D349" s="90"/>
      <c r="E349" s="90"/>
      <c r="F349" s="90"/>
      <c r="G349" s="90"/>
      <c r="H349" s="90"/>
      <c r="I349" s="90"/>
      <c r="J349" s="90"/>
      <c r="K349" s="91"/>
    </row>
    <row r="350" customFormat="false" ht="45" hidden="false" customHeight="true" outlineLevel="0" collapsed="false">
      <c r="A350" s="92" t="s">
        <v>1031</v>
      </c>
      <c r="B350" s="23" t="s">
        <v>1032</v>
      </c>
      <c r="C350" s="36" t="s">
        <v>93</v>
      </c>
      <c r="D350" s="23" t="s">
        <v>1099</v>
      </c>
      <c r="E350" s="23" t="s">
        <v>939</v>
      </c>
      <c r="F350" s="25" t="s">
        <v>82</v>
      </c>
      <c r="G350" s="26" t="s">
        <v>38</v>
      </c>
      <c r="H350" s="23"/>
      <c r="I350" s="23"/>
      <c r="J350" s="23"/>
      <c r="K350" s="23"/>
    </row>
    <row r="351" customFormat="false" ht="45" hidden="false" customHeight="true" outlineLevel="0" collapsed="false">
      <c r="A351" s="92" t="s">
        <v>1034</v>
      </c>
      <c r="B351" s="32" t="s">
        <v>1035</v>
      </c>
      <c r="C351" s="33" t="s">
        <v>93</v>
      </c>
      <c r="D351" s="32" t="s">
        <v>1099</v>
      </c>
      <c r="E351" s="32" t="s">
        <v>939</v>
      </c>
      <c r="F351" s="25" t="s">
        <v>82</v>
      </c>
      <c r="G351" s="26" t="s">
        <v>38</v>
      </c>
      <c r="H351" s="32"/>
      <c r="I351" s="32"/>
      <c r="J351" s="32"/>
      <c r="K351" s="32"/>
    </row>
    <row r="352" customFormat="false" ht="45" hidden="false" customHeight="true" outlineLevel="0" collapsed="false">
      <c r="A352" s="92" t="s">
        <v>1037</v>
      </c>
      <c r="B352" s="23" t="s">
        <v>1038</v>
      </c>
      <c r="C352" s="36" t="s">
        <v>93</v>
      </c>
      <c r="D352" s="23" t="s">
        <v>1099</v>
      </c>
      <c r="E352" s="23" t="s">
        <v>939</v>
      </c>
      <c r="F352" s="25" t="s">
        <v>82</v>
      </c>
      <c r="G352" s="26" t="s">
        <v>38</v>
      </c>
      <c r="H352" s="23"/>
      <c r="I352" s="23"/>
      <c r="J352" s="23"/>
      <c r="K352" s="23"/>
    </row>
    <row r="353" customFormat="false" ht="45" hidden="false" customHeight="true" outlineLevel="0" collapsed="false">
      <c r="A353" s="92" t="s">
        <v>1041</v>
      </c>
      <c r="B353" s="32" t="s">
        <v>1042</v>
      </c>
      <c r="C353" s="33" t="s">
        <v>93</v>
      </c>
      <c r="D353" s="32" t="s">
        <v>1099</v>
      </c>
      <c r="E353" s="32" t="s">
        <v>939</v>
      </c>
      <c r="F353" s="25" t="s">
        <v>82</v>
      </c>
      <c r="G353" s="26" t="s">
        <v>38</v>
      </c>
      <c r="H353" s="32"/>
      <c r="I353" s="32"/>
      <c r="J353" s="32"/>
      <c r="K353" s="32"/>
    </row>
    <row r="354" customFormat="false" ht="45" hidden="false" customHeight="true" outlineLevel="0" collapsed="false">
      <c r="A354" s="92" t="s">
        <v>1044</v>
      </c>
      <c r="B354" s="23" t="s">
        <v>1045</v>
      </c>
      <c r="C354" s="36" t="s">
        <v>93</v>
      </c>
      <c r="D354" s="23" t="s">
        <v>1099</v>
      </c>
      <c r="E354" s="23" t="s">
        <v>939</v>
      </c>
      <c r="F354" s="25" t="s">
        <v>82</v>
      </c>
      <c r="G354" s="26" t="s">
        <v>38</v>
      </c>
      <c r="H354" s="23"/>
      <c r="I354" s="23"/>
      <c r="J354" s="23"/>
      <c r="K354" s="23"/>
    </row>
    <row r="355" customFormat="false" ht="45" hidden="false" customHeight="true" outlineLevel="0" collapsed="false">
      <c r="A355" s="92" t="s">
        <v>1047</v>
      </c>
      <c r="B355" s="32" t="s">
        <v>1048</v>
      </c>
      <c r="C355" s="33" t="s">
        <v>93</v>
      </c>
      <c r="D355" s="32" t="s">
        <v>1099</v>
      </c>
      <c r="E355" s="32" t="s">
        <v>939</v>
      </c>
      <c r="F355" s="25" t="s">
        <v>82</v>
      </c>
      <c r="G355" s="26" t="s">
        <v>38</v>
      </c>
      <c r="H355" s="32"/>
      <c r="I355" s="32"/>
      <c r="J355" s="32"/>
      <c r="K355" s="32"/>
    </row>
    <row r="356" customFormat="false" ht="45" hidden="false" customHeight="true" outlineLevel="0" collapsed="false">
      <c r="A356" s="92" t="s">
        <v>1050</v>
      </c>
      <c r="B356" s="23" t="s">
        <v>1051</v>
      </c>
      <c r="C356" s="36" t="s">
        <v>93</v>
      </c>
      <c r="D356" s="23" t="s">
        <v>1099</v>
      </c>
      <c r="E356" s="23" t="s">
        <v>939</v>
      </c>
      <c r="F356" s="25" t="s">
        <v>82</v>
      </c>
      <c r="G356" s="26" t="s">
        <v>38</v>
      </c>
      <c r="H356" s="23"/>
      <c r="I356" s="23"/>
      <c r="J356" s="23"/>
      <c r="K356" s="23"/>
    </row>
    <row r="357" customFormat="false" ht="45" hidden="false" customHeight="true" outlineLevel="0" collapsed="false">
      <c r="A357" s="92" t="s">
        <v>1053</v>
      </c>
      <c r="B357" s="32" t="s">
        <v>1054</v>
      </c>
      <c r="C357" s="33" t="s">
        <v>93</v>
      </c>
      <c r="D357" s="32" t="s">
        <v>1099</v>
      </c>
      <c r="E357" s="32" t="s">
        <v>939</v>
      </c>
      <c r="F357" s="25" t="s">
        <v>82</v>
      </c>
      <c r="G357" s="26" t="s">
        <v>38</v>
      </c>
      <c r="H357" s="32"/>
      <c r="I357" s="32"/>
      <c r="J357" s="32"/>
      <c r="K357" s="32"/>
    </row>
    <row r="358" customFormat="false" ht="45" hidden="false" customHeight="true" outlineLevel="0" collapsed="false">
      <c r="A358" s="92" t="s">
        <v>1057</v>
      </c>
      <c r="B358" s="23" t="s">
        <v>1058</v>
      </c>
      <c r="C358" s="36" t="s">
        <v>93</v>
      </c>
      <c r="D358" s="23" t="s">
        <v>1099</v>
      </c>
      <c r="E358" s="23" t="s">
        <v>939</v>
      </c>
      <c r="F358" s="25" t="s">
        <v>224</v>
      </c>
      <c r="G358" s="26" t="s">
        <v>38</v>
      </c>
      <c r="H358" s="23"/>
      <c r="I358" s="23"/>
      <c r="J358" s="23"/>
      <c r="K358" s="23"/>
    </row>
    <row r="359" customFormat="false" ht="45" hidden="false" customHeight="true" outlineLevel="0" collapsed="false">
      <c r="A359" s="92" t="s">
        <v>1060</v>
      </c>
      <c r="B359" s="32" t="s">
        <v>1061</v>
      </c>
      <c r="C359" s="33" t="s">
        <v>93</v>
      </c>
      <c r="D359" s="32" t="s">
        <v>1099</v>
      </c>
      <c r="E359" s="32" t="s">
        <v>939</v>
      </c>
      <c r="F359" s="25" t="s">
        <v>224</v>
      </c>
      <c r="G359" s="26" t="s">
        <v>38</v>
      </c>
      <c r="H359" s="32"/>
      <c r="I359" s="32"/>
      <c r="J359" s="32"/>
      <c r="K359" s="32"/>
    </row>
    <row r="360" customFormat="false" ht="45" hidden="false" customHeight="true" outlineLevel="0" collapsed="false">
      <c r="A360" s="92" t="s">
        <v>1063</v>
      </c>
      <c r="B360" s="23" t="s">
        <v>1064</v>
      </c>
      <c r="C360" s="36" t="s">
        <v>93</v>
      </c>
      <c r="D360" s="23" t="s">
        <v>1099</v>
      </c>
      <c r="E360" s="23" t="s">
        <v>939</v>
      </c>
      <c r="F360" s="25" t="s">
        <v>82</v>
      </c>
      <c r="G360" s="26" t="s">
        <v>38</v>
      </c>
      <c r="H360" s="23"/>
      <c r="I360" s="23"/>
      <c r="J360" s="23"/>
      <c r="K360" s="23"/>
    </row>
    <row r="361" customFormat="false" ht="45" hidden="false" customHeight="true" outlineLevel="0" collapsed="false">
      <c r="A361" s="92" t="s">
        <v>1066</v>
      </c>
      <c r="B361" s="32" t="s">
        <v>1067</v>
      </c>
      <c r="C361" s="33" t="s">
        <v>93</v>
      </c>
      <c r="D361" s="32" t="s">
        <v>1099</v>
      </c>
      <c r="E361" s="32" t="s">
        <v>939</v>
      </c>
      <c r="F361" s="25" t="s">
        <v>82</v>
      </c>
      <c r="G361" s="26" t="s">
        <v>38</v>
      </c>
      <c r="H361" s="32"/>
      <c r="I361" s="32"/>
      <c r="J361" s="32"/>
      <c r="K361" s="32"/>
    </row>
    <row r="362" customFormat="false" ht="45" hidden="false" customHeight="true" outlineLevel="0" collapsed="false">
      <c r="A362" s="92" t="s">
        <v>1069</v>
      </c>
      <c r="B362" s="23" t="s">
        <v>1070</v>
      </c>
      <c r="C362" s="36" t="s">
        <v>93</v>
      </c>
      <c r="D362" s="23" t="s">
        <v>1099</v>
      </c>
      <c r="E362" s="23" t="s">
        <v>939</v>
      </c>
      <c r="F362" s="25" t="s">
        <v>82</v>
      </c>
      <c r="G362" s="26" t="s">
        <v>38</v>
      </c>
      <c r="H362" s="23"/>
      <c r="I362" s="23"/>
      <c r="J362" s="23"/>
      <c r="K362" s="23"/>
    </row>
    <row r="363" customFormat="false" ht="45" hidden="false" customHeight="true" outlineLevel="0" collapsed="false">
      <c r="A363" s="92" t="s">
        <v>1072</v>
      </c>
      <c r="B363" s="32" t="s">
        <v>1073</v>
      </c>
      <c r="C363" s="33" t="s">
        <v>93</v>
      </c>
      <c r="D363" s="32" t="s">
        <v>1099</v>
      </c>
      <c r="E363" s="32" t="s">
        <v>939</v>
      </c>
      <c r="F363" s="25" t="s">
        <v>89</v>
      </c>
      <c r="G363" s="26" t="s">
        <v>38</v>
      </c>
      <c r="H363" s="32"/>
      <c r="I363" s="32"/>
      <c r="J363" s="32"/>
      <c r="K363" s="32"/>
    </row>
    <row r="364" customFormat="false" ht="45" hidden="false" customHeight="true" outlineLevel="0" collapsed="false">
      <c r="A364" s="92" t="s">
        <v>1075</v>
      </c>
      <c r="B364" s="23" t="s">
        <v>1076</v>
      </c>
      <c r="C364" s="36" t="s">
        <v>93</v>
      </c>
      <c r="D364" s="23" t="s">
        <v>1099</v>
      </c>
      <c r="E364" s="23" t="s">
        <v>939</v>
      </c>
      <c r="F364" s="25" t="s">
        <v>82</v>
      </c>
      <c r="G364" s="26" t="s">
        <v>38</v>
      </c>
      <c r="H364" s="23"/>
      <c r="I364" s="23"/>
      <c r="J364" s="23"/>
      <c r="K364" s="23"/>
    </row>
    <row r="365" customFormat="false" ht="45" hidden="false" customHeight="true" outlineLevel="0" collapsed="false">
      <c r="A365" s="92" t="s">
        <v>1078</v>
      </c>
      <c r="B365" s="32" t="s">
        <v>1079</v>
      </c>
      <c r="C365" s="33" t="s">
        <v>93</v>
      </c>
      <c r="D365" s="32" t="s">
        <v>1099</v>
      </c>
      <c r="E365" s="32" t="s">
        <v>939</v>
      </c>
      <c r="F365" s="25" t="s">
        <v>89</v>
      </c>
      <c r="G365" s="26" t="s">
        <v>38</v>
      </c>
      <c r="H365" s="32"/>
      <c r="I365" s="32"/>
      <c r="J365" s="32"/>
      <c r="K365" s="32"/>
    </row>
    <row r="366" customFormat="false" ht="64.15" hidden="false" customHeight="false" outlineLevel="0" collapsed="false">
      <c r="A366" s="92" t="s">
        <v>1081</v>
      </c>
      <c r="B366" s="23" t="s">
        <v>1082</v>
      </c>
      <c r="C366" s="36" t="s">
        <v>93</v>
      </c>
      <c r="D366" s="23" t="s">
        <v>1099</v>
      </c>
      <c r="E366" s="23" t="s">
        <v>939</v>
      </c>
      <c r="F366" s="25" t="s">
        <v>82</v>
      </c>
      <c r="G366" s="26" t="s">
        <v>38</v>
      </c>
      <c r="H366" s="23"/>
      <c r="I366" s="23"/>
      <c r="J366" s="23"/>
      <c r="K366" s="23"/>
    </row>
  </sheetData>
  <mergeCells count="50">
    <mergeCell ref="B1:K2"/>
    <mergeCell ref="A5:K5"/>
    <mergeCell ref="A9:K9"/>
    <mergeCell ref="A12:K12"/>
    <mergeCell ref="A14:K14"/>
    <mergeCell ref="A17:K17"/>
    <mergeCell ref="A20:K20"/>
    <mergeCell ref="A22:K22"/>
    <mergeCell ref="A36:K36"/>
    <mergeCell ref="A40:K40"/>
    <mergeCell ref="A52:K52"/>
    <mergeCell ref="A56:K56"/>
    <mergeCell ref="A66:K66"/>
    <mergeCell ref="A91:K91"/>
    <mergeCell ref="A95:K95"/>
    <mergeCell ref="A101:K101"/>
    <mergeCell ref="A105:K105"/>
    <mergeCell ref="A120:K120"/>
    <mergeCell ref="A124:K124"/>
    <mergeCell ref="A131:K131"/>
    <mergeCell ref="A136:K136"/>
    <mergeCell ref="A141:K141"/>
    <mergeCell ref="A152:K152"/>
    <mergeCell ref="A165:K165"/>
    <mergeCell ref="A169:K169"/>
    <mergeCell ref="A191:K191"/>
    <mergeCell ref="A193:K193"/>
    <mergeCell ref="A200:K200"/>
    <mergeCell ref="A205:K205"/>
    <mergeCell ref="A209:K209"/>
    <mergeCell ref="A216:K216"/>
    <mergeCell ref="A219:K219"/>
    <mergeCell ref="A221:K221"/>
    <mergeCell ref="A234:K234"/>
    <mergeCell ref="A237:K237"/>
    <mergeCell ref="A244:K244"/>
    <mergeCell ref="A248:K248"/>
    <mergeCell ref="A280:K280"/>
    <mergeCell ref="A284:K284"/>
    <mergeCell ref="A288:K288"/>
    <mergeCell ref="A307:K307"/>
    <mergeCell ref="A309:K309"/>
    <mergeCell ref="A312:K312"/>
    <mergeCell ref="A320:K320"/>
    <mergeCell ref="A324:K324"/>
    <mergeCell ref="A331:K331"/>
    <mergeCell ref="A333:K333"/>
    <mergeCell ref="A335:K335"/>
    <mergeCell ref="A338:K338"/>
    <mergeCell ref="A348:K348"/>
  </mergeCells>
  <dataValidations count="1">
    <dataValidation allowBlank="true" errorStyle="stop" operator="between" showDropDown="false" showErrorMessage="false" showInputMessage="false" sqref="G6:G8 G10:G11 G13 G15:G16 G18:G19 G21 G23:G35 G37:G39 G41:G51 G53:G55 G57:G65 G67:G90 G92:G94 G96:G100 G102:G104 G106:G119 G121:G123 G125:G130 G132:G135 G137:G140 G142:G151 G153:G164 G166:G168 G170:G190 G192 G194:G199 G201:G204 G206:G208 G210:G215 G217:G218 G220 G222:G233 G235:G236 G238:G243 G245:G247 G249:G279 G281:G283 G285:G287 G289:G306 G308 G310:G311 G313:G319 G321:G323 G325:G330 G332 G334 G336:G337 G339:G347 G349:G365" type="list">
      <formula1>"COMPLIANT,NON-COMPLIANT,IN PROGRESS,NOT APPLICABLE,NOT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5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35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3" min="11" style="0" width="15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16" min="16" style="0" width="35"/>
  </cols>
  <sheetData>
    <row r="1" customFormat="false" ht="15" hidden="false" customHeight="true" outlineLevel="0" collapsed="false">
      <c r="A1" s="18" t="s">
        <v>1108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27.75" hidden="false" customHeight="true" outlineLevel="0" collapsed="false">
      <c r="A3" s="19" t="s">
        <v>1109</v>
      </c>
      <c r="B3" s="19" t="s">
        <v>1110</v>
      </c>
      <c r="C3" s="19" t="s">
        <v>51</v>
      </c>
      <c r="D3" s="19" t="s">
        <v>1111</v>
      </c>
      <c r="E3" s="19" t="s">
        <v>64</v>
      </c>
      <c r="F3" s="19" t="s">
        <v>1112</v>
      </c>
      <c r="G3" s="19" t="s">
        <v>1113</v>
      </c>
      <c r="H3" s="19" t="s">
        <v>1114</v>
      </c>
      <c r="I3" s="19" t="s">
        <v>1115</v>
      </c>
      <c r="J3" s="19" t="s">
        <v>1116</v>
      </c>
      <c r="K3" s="19" t="s">
        <v>1117</v>
      </c>
      <c r="L3" s="19" t="s">
        <v>1118</v>
      </c>
      <c r="M3" s="19" t="s">
        <v>68</v>
      </c>
      <c r="N3" s="19" t="s">
        <v>1119</v>
      </c>
      <c r="O3" s="19" t="s">
        <v>1093</v>
      </c>
      <c r="P3" s="19" t="s">
        <v>1120</v>
      </c>
    </row>
    <row r="4" customFormat="false" ht="34.5" hidden="false" customHeight="true" outlineLevel="0" collapsed="false">
      <c r="A4" s="47" t="s">
        <v>1121</v>
      </c>
      <c r="B4" s="47" t="s">
        <v>76</v>
      </c>
      <c r="C4" s="32" t="s">
        <v>75</v>
      </c>
      <c r="D4" s="32" t="s">
        <v>1122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109" t="s">
        <v>1123</v>
      </c>
      <c r="P4" s="32"/>
    </row>
    <row r="5" customFormat="false" ht="34.5" hidden="false" customHeight="true" outlineLevel="0" collapsed="false">
      <c r="A5" s="45" t="s">
        <v>1124</v>
      </c>
      <c r="B5" s="45" t="s">
        <v>84</v>
      </c>
      <c r="C5" s="23" t="s">
        <v>75</v>
      </c>
      <c r="D5" s="23" t="s">
        <v>1125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109" t="s">
        <v>1123</v>
      </c>
      <c r="P5" s="23"/>
    </row>
    <row r="6" customFormat="false" ht="34.5" hidden="false" customHeight="true" outlineLevel="0" collapsed="false">
      <c r="A6" s="47" t="s">
        <v>1126</v>
      </c>
      <c r="B6" s="47" t="s">
        <v>87</v>
      </c>
      <c r="C6" s="32" t="s">
        <v>75</v>
      </c>
      <c r="D6" s="32" t="s">
        <v>1127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109" t="s">
        <v>1123</v>
      </c>
      <c r="P6" s="32"/>
    </row>
    <row r="7" customFormat="false" ht="34.5" hidden="false" customHeight="true" outlineLevel="0" collapsed="false">
      <c r="A7" s="45" t="s">
        <v>1128</v>
      </c>
      <c r="B7" s="45" t="s">
        <v>91</v>
      </c>
      <c r="C7" s="23" t="s">
        <v>75</v>
      </c>
      <c r="D7" s="23" t="s">
        <v>92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109" t="s">
        <v>1123</v>
      </c>
      <c r="P7" s="23"/>
    </row>
    <row r="8" customFormat="false" ht="34.5" hidden="false" customHeight="true" outlineLevel="0" collapsed="false">
      <c r="A8" s="47" t="s">
        <v>1129</v>
      </c>
      <c r="B8" s="47" t="s">
        <v>95</v>
      </c>
      <c r="C8" s="32" t="s">
        <v>75</v>
      </c>
      <c r="D8" s="32" t="s">
        <v>96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109" t="s">
        <v>1123</v>
      </c>
      <c r="P8" s="32"/>
    </row>
    <row r="9" customFormat="false" ht="34.5" hidden="false" customHeight="true" outlineLevel="0" collapsed="false">
      <c r="A9" s="45" t="s">
        <v>1130</v>
      </c>
      <c r="B9" s="45" t="s">
        <v>98</v>
      </c>
      <c r="C9" s="23" t="s">
        <v>75</v>
      </c>
      <c r="D9" s="23" t="s">
        <v>1131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109" t="s">
        <v>1123</v>
      </c>
      <c r="P9" s="23"/>
    </row>
    <row r="10" customFormat="false" ht="34.5" hidden="false" customHeight="true" outlineLevel="0" collapsed="false">
      <c r="A10" s="47" t="s">
        <v>1132</v>
      </c>
      <c r="B10" s="47" t="s">
        <v>102</v>
      </c>
      <c r="C10" s="32" t="s">
        <v>75</v>
      </c>
      <c r="D10" s="32" t="s">
        <v>1133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109" t="s">
        <v>1123</v>
      </c>
      <c r="P10" s="32"/>
    </row>
    <row r="11" customFormat="false" ht="34.5" hidden="false" customHeight="true" outlineLevel="0" collapsed="false">
      <c r="A11" s="45" t="s">
        <v>1134</v>
      </c>
      <c r="B11" s="45" t="s">
        <v>106</v>
      </c>
      <c r="C11" s="23" t="s">
        <v>75</v>
      </c>
      <c r="D11" s="23" t="s">
        <v>1135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109" t="s">
        <v>1123</v>
      </c>
      <c r="P11" s="23"/>
    </row>
    <row r="12" customFormat="false" ht="34.5" hidden="false" customHeight="true" outlineLevel="0" collapsed="false">
      <c r="A12" s="47" t="s">
        <v>1136</v>
      </c>
      <c r="B12" s="47" t="s">
        <v>109</v>
      </c>
      <c r="C12" s="32" t="s">
        <v>75</v>
      </c>
      <c r="D12" s="32" t="s">
        <v>1137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109" t="s">
        <v>1123</v>
      </c>
      <c r="P12" s="32"/>
    </row>
    <row r="13" customFormat="false" ht="34.5" hidden="false" customHeight="true" outlineLevel="0" collapsed="false">
      <c r="A13" s="45" t="s">
        <v>1138</v>
      </c>
      <c r="B13" s="45" t="s">
        <v>112</v>
      </c>
      <c r="C13" s="23" t="s">
        <v>75</v>
      </c>
      <c r="D13" s="23" t="s">
        <v>1139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109" t="s">
        <v>1123</v>
      </c>
      <c r="P13" s="23"/>
    </row>
    <row r="14" customFormat="false" ht="34.5" hidden="false" customHeight="true" outlineLevel="0" collapsed="false">
      <c r="A14" s="47" t="s">
        <v>1140</v>
      </c>
      <c r="B14" s="47" t="s">
        <v>115</v>
      </c>
      <c r="C14" s="32" t="s">
        <v>75</v>
      </c>
      <c r="D14" s="32" t="s">
        <v>1141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109" t="s">
        <v>1123</v>
      </c>
      <c r="P14" s="32"/>
    </row>
    <row r="15" customFormat="false" ht="34.5" hidden="false" customHeight="true" outlineLevel="0" collapsed="false">
      <c r="A15" s="45" t="s">
        <v>1142</v>
      </c>
      <c r="B15" s="45" t="s">
        <v>119</v>
      </c>
      <c r="C15" s="23" t="s">
        <v>75</v>
      </c>
      <c r="D15" s="23" t="s">
        <v>1143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109" t="s">
        <v>1123</v>
      </c>
      <c r="P15" s="23"/>
    </row>
    <row r="16" customFormat="false" ht="34.5" hidden="false" customHeight="true" outlineLevel="0" collapsed="false">
      <c r="A16" s="47" t="s">
        <v>1144</v>
      </c>
      <c r="B16" s="47" t="s">
        <v>122</v>
      </c>
      <c r="C16" s="32" t="s">
        <v>75</v>
      </c>
      <c r="D16" s="32" t="s">
        <v>123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109" t="s">
        <v>1123</v>
      </c>
      <c r="P16" s="32"/>
    </row>
    <row r="17" customFormat="false" ht="34.5" hidden="false" customHeight="true" outlineLevel="0" collapsed="false">
      <c r="A17" s="45" t="s">
        <v>1145</v>
      </c>
      <c r="B17" s="45" t="s">
        <v>125</v>
      </c>
      <c r="C17" s="23" t="s">
        <v>75</v>
      </c>
      <c r="D17" s="23" t="s">
        <v>1146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09" t="s">
        <v>1123</v>
      </c>
      <c r="P17" s="23"/>
    </row>
    <row r="18" customFormat="false" ht="34.5" hidden="false" customHeight="true" outlineLevel="0" collapsed="false">
      <c r="A18" s="47" t="s">
        <v>1147</v>
      </c>
      <c r="B18" s="47" t="s">
        <v>128</v>
      </c>
      <c r="C18" s="32" t="s">
        <v>75</v>
      </c>
      <c r="D18" s="32" t="s">
        <v>1148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109" t="s">
        <v>1123</v>
      </c>
      <c r="P18" s="32"/>
    </row>
    <row r="19" customFormat="false" ht="34.5" hidden="false" customHeight="true" outlineLevel="0" collapsed="false">
      <c r="A19" s="45" t="s">
        <v>1149</v>
      </c>
      <c r="B19" s="45" t="s">
        <v>131</v>
      </c>
      <c r="C19" s="23" t="s">
        <v>75</v>
      </c>
      <c r="D19" s="23" t="s">
        <v>1150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09" t="s">
        <v>1123</v>
      </c>
      <c r="P19" s="23"/>
    </row>
    <row r="20" customFormat="false" ht="34.5" hidden="false" customHeight="true" outlineLevel="0" collapsed="false">
      <c r="A20" s="47" t="s">
        <v>1151</v>
      </c>
      <c r="B20" s="47" t="s">
        <v>134</v>
      </c>
      <c r="C20" s="32" t="s">
        <v>75</v>
      </c>
      <c r="D20" s="32" t="s">
        <v>135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109" t="s">
        <v>1123</v>
      </c>
      <c r="P20" s="32"/>
    </row>
    <row r="21" customFormat="false" ht="34.5" hidden="false" customHeight="true" outlineLevel="0" collapsed="false">
      <c r="A21" s="45" t="s">
        <v>1152</v>
      </c>
      <c r="B21" s="45" t="s">
        <v>137</v>
      </c>
      <c r="C21" s="23" t="s">
        <v>75</v>
      </c>
      <c r="D21" s="23" t="s">
        <v>138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109" t="s">
        <v>1123</v>
      </c>
      <c r="P21" s="23"/>
    </row>
    <row r="22" customFormat="false" ht="34.5" hidden="false" customHeight="true" outlineLevel="0" collapsed="false">
      <c r="A22" s="47" t="s">
        <v>1153</v>
      </c>
      <c r="B22" s="47" t="s">
        <v>140</v>
      </c>
      <c r="C22" s="32" t="s">
        <v>75</v>
      </c>
      <c r="D22" s="32" t="s">
        <v>1154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109" t="s">
        <v>1123</v>
      </c>
      <c r="P22" s="32"/>
    </row>
    <row r="23" customFormat="false" ht="34.5" hidden="false" customHeight="true" outlineLevel="0" collapsed="false">
      <c r="A23" s="45" t="s">
        <v>1155</v>
      </c>
      <c r="B23" s="45" t="s">
        <v>143</v>
      </c>
      <c r="C23" s="23" t="s">
        <v>75</v>
      </c>
      <c r="D23" s="23" t="s">
        <v>1156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109" t="s">
        <v>1123</v>
      </c>
      <c r="P23" s="23"/>
    </row>
    <row r="24" customFormat="false" ht="34.5" hidden="false" customHeight="true" outlineLevel="0" collapsed="false">
      <c r="A24" s="47" t="s">
        <v>1157</v>
      </c>
      <c r="B24" s="47" t="s">
        <v>146</v>
      </c>
      <c r="C24" s="32" t="s">
        <v>75</v>
      </c>
      <c r="D24" s="32" t="s">
        <v>1158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109" t="s">
        <v>1123</v>
      </c>
      <c r="P24" s="32"/>
    </row>
    <row r="25" customFormat="false" ht="34.5" hidden="false" customHeight="true" outlineLevel="0" collapsed="false">
      <c r="A25" s="45" t="s">
        <v>1159</v>
      </c>
      <c r="B25" s="45" t="s">
        <v>149</v>
      </c>
      <c r="C25" s="23" t="s">
        <v>75</v>
      </c>
      <c r="D25" s="23" t="s">
        <v>1160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109" t="s">
        <v>1123</v>
      </c>
      <c r="P25" s="23"/>
    </row>
    <row r="26" customFormat="false" ht="34.5" hidden="false" customHeight="true" outlineLevel="0" collapsed="false">
      <c r="A26" s="47" t="s">
        <v>1161</v>
      </c>
      <c r="B26" s="47" t="s">
        <v>152</v>
      </c>
      <c r="C26" s="32" t="s">
        <v>75</v>
      </c>
      <c r="D26" s="32" t="s">
        <v>1162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109" t="s">
        <v>1123</v>
      </c>
      <c r="P26" s="32"/>
    </row>
    <row r="27" customFormat="false" ht="34.5" hidden="false" customHeight="true" outlineLevel="0" collapsed="false">
      <c r="A27" s="45" t="s">
        <v>1163</v>
      </c>
      <c r="B27" s="45" t="s">
        <v>155</v>
      </c>
      <c r="C27" s="23" t="s">
        <v>75</v>
      </c>
      <c r="D27" s="23" t="s">
        <v>1164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109" t="s">
        <v>1123</v>
      </c>
      <c r="P27" s="23"/>
    </row>
    <row r="28" customFormat="false" ht="34.5" hidden="false" customHeight="true" outlineLevel="0" collapsed="false">
      <c r="A28" s="47" t="s">
        <v>1165</v>
      </c>
      <c r="B28" s="110" t="s">
        <v>159</v>
      </c>
      <c r="C28" s="32" t="s">
        <v>158</v>
      </c>
      <c r="D28" s="32" t="s">
        <v>1166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109" t="s">
        <v>1123</v>
      </c>
      <c r="P28" s="32"/>
    </row>
    <row r="29" customFormat="false" ht="34.5" hidden="false" customHeight="true" outlineLevel="0" collapsed="false">
      <c r="A29" s="45" t="s">
        <v>1167</v>
      </c>
      <c r="B29" s="111" t="s">
        <v>163</v>
      </c>
      <c r="C29" s="23" t="s">
        <v>158</v>
      </c>
      <c r="D29" s="23" t="s">
        <v>1125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109" t="s">
        <v>1123</v>
      </c>
      <c r="P29" s="23"/>
    </row>
    <row r="30" customFormat="false" ht="34.5" hidden="false" customHeight="true" outlineLevel="0" collapsed="false">
      <c r="A30" s="47" t="s">
        <v>1168</v>
      </c>
      <c r="B30" s="110" t="s">
        <v>166</v>
      </c>
      <c r="C30" s="32" t="s">
        <v>158</v>
      </c>
      <c r="D30" s="32" t="s">
        <v>1169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109" t="s">
        <v>1123</v>
      </c>
      <c r="P30" s="32"/>
    </row>
    <row r="31" customFormat="false" ht="34.5" hidden="false" customHeight="true" outlineLevel="0" collapsed="false">
      <c r="A31" s="45" t="s">
        <v>1170</v>
      </c>
      <c r="B31" s="111" t="s">
        <v>169</v>
      </c>
      <c r="C31" s="23" t="s">
        <v>158</v>
      </c>
      <c r="D31" s="23" t="s">
        <v>170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109" t="s">
        <v>1123</v>
      </c>
      <c r="P31" s="23"/>
    </row>
    <row r="32" customFormat="false" ht="34.5" hidden="false" customHeight="true" outlineLevel="0" collapsed="false">
      <c r="A32" s="47" t="s">
        <v>1171</v>
      </c>
      <c r="B32" s="110" t="s">
        <v>172</v>
      </c>
      <c r="C32" s="32" t="s">
        <v>158</v>
      </c>
      <c r="D32" s="32" t="s">
        <v>1172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109" t="s">
        <v>1123</v>
      </c>
      <c r="P32" s="32"/>
    </row>
    <row r="33" customFormat="false" ht="34.5" hidden="false" customHeight="true" outlineLevel="0" collapsed="false">
      <c r="A33" s="45" t="s">
        <v>1173</v>
      </c>
      <c r="B33" s="111" t="s">
        <v>175</v>
      </c>
      <c r="C33" s="23" t="s">
        <v>158</v>
      </c>
      <c r="D33" s="23" t="s">
        <v>1174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109" t="s">
        <v>1123</v>
      </c>
      <c r="P33" s="23"/>
    </row>
    <row r="34" customFormat="false" ht="34.5" hidden="false" customHeight="true" outlineLevel="0" collapsed="false">
      <c r="A34" s="47" t="s">
        <v>1175</v>
      </c>
      <c r="B34" s="110" t="s">
        <v>179</v>
      </c>
      <c r="C34" s="32" t="s">
        <v>158</v>
      </c>
      <c r="D34" s="32" t="s">
        <v>1176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109" t="s">
        <v>1123</v>
      </c>
      <c r="P34" s="32"/>
    </row>
    <row r="35" customFormat="false" ht="34.5" hidden="false" customHeight="true" outlineLevel="0" collapsed="false">
      <c r="A35" s="45" t="s">
        <v>1177</v>
      </c>
      <c r="B35" s="111" t="s">
        <v>182</v>
      </c>
      <c r="C35" s="23" t="s">
        <v>158</v>
      </c>
      <c r="D35" s="23" t="s">
        <v>1178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109" t="s">
        <v>1123</v>
      </c>
      <c r="P35" s="23"/>
    </row>
    <row r="36" customFormat="false" ht="34.5" hidden="false" customHeight="true" outlineLevel="0" collapsed="false">
      <c r="A36" s="47" t="s">
        <v>1179</v>
      </c>
      <c r="B36" s="110" t="s">
        <v>185</v>
      </c>
      <c r="C36" s="32" t="s">
        <v>158</v>
      </c>
      <c r="D36" s="32" t="s">
        <v>1180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09" t="s">
        <v>1123</v>
      </c>
      <c r="P36" s="32"/>
    </row>
    <row r="37" customFormat="false" ht="34.5" hidden="false" customHeight="true" outlineLevel="0" collapsed="false">
      <c r="A37" s="45" t="s">
        <v>1181</v>
      </c>
      <c r="B37" s="111" t="s">
        <v>188</v>
      </c>
      <c r="C37" s="23" t="s">
        <v>158</v>
      </c>
      <c r="D37" s="23" t="s">
        <v>189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109" t="s">
        <v>1123</v>
      </c>
      <c r="P37" s="23"/>
    </row>
    <row r="38" customFormat="false" ht="34.5" hidden="false" customHeight="true" outlineLevel="0" collapsed="false">
      <c r="A38" s="47" t="s">
        <v>1182</v>
      </c>
      <c r="B38" s="110" t="s">
        <v>191</v>
      </c>
      <c r="C38" s="32" t="s">
        <v>158</v>
      </c>
      <c r="D38" s="32" t="s">
        <v>1183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109" t="s">
        <v>1123</v>
      </c>
      <c r="P38" s="32"/>
    </row>
    <row r="39" customFormat="false" ht="34.5" hidden="false" customHeight="true" outlineLevel="0" collapsed="false">
      <c r="A39" s="45" t="s">
        <v>1184</v>
      </c>
      <c r="B39" s="111" t="s">
        <v>194</v>
      </c>
      <c r="C39" s="23" t="s">
        <v>158</v>
      </c>
      <c r="D39" s="23" t="s">
        <v>195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109" t="s">
        <v>1123</v>
      </c>
      <c r="P39" s="23"/>
    </row>
    <row r="40" customFormat="false" ht="34.5" hidden="false" customHeight="true" outlineLevel="0" collapsed="false">
      <c r="A40" s="47" t="s">
        <v>1185</v>
      </c>
      <c r="B40" s="110" t="s">
        <v>197</v>
      </c>
      <c r="C40" s="32" t="s">
        <v>158</v>
      </c>
      <c r="D40" s="32" t="s">
        <v>1186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109" t="s">
        <v>1123</v>
      </c>
      <c r="P40" s="32"/>
    </row>
    <row r="41" customFormat="false" ht="34.5" hidden="false" customHeight="true" outlineLevel="0" collapsed="false">
      <c r="A41" s="45" t="s">
        <v>1187</v>
      </c>
      <c r="B41" s="111" t="s">
        <v>200</v>
      </c>
      <c r="C41" s="23" t="s">
        <v>158</v>
      </c>
      <c r="D41" s="23" t="s">
        <v>1188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109" t="s">
        <v>1123</v>
      </c>
      <c r="P41" s="23"/>
    </row>
    <row r="42" customFormat="false" ht="34.5" hidden="false" customHeight="true" outlineLevel="0" collapsed="false">
      <c r="A42" s="47" t="s">
        <v>1189</v>
      </c>
      <c r="B42" s="112" t="s">
        <v>205</v>
      </c>
      <c r="C42" s="32" t="s">
        <v>204</v>
      </c>
      <c r="D42" s="32" t="s">
        <v>1190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109" t="s">
        <v>1123</v>
      </c>
      <c r="P42" s="32"/>
    </row>
    <row r="43" customFormat="false" ht="34.5" hidden="false" customHeight="true" outlineLevel="0" collapsed="false">
      <c r="A43" s="45" t="s">
        <v>1191</v>
      </c>
      <c r="B43" s="113" t="s">
        <v>209</v>
      </c>
      <c r="C43" s="23" t="s">
        <v>204</v>
      </c>
      <c r="D43" s="23" t="s">
        <v>1125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109" t="s">
        <v>1123</v>
      </c>
      <c r="P43" s="23"/>
    </row>
    <row r="44" customFormat="false" ht="34.5" hidden="false" customHeight="true" outlineLevel="0" collapsed="false">
      <c r="A44" s="47" t="s">
        <v>1192</v>
      </c>
      <c r="B44" s="112" t="s">
        <v>212</v>
      </c>
      <c r="C44" s="32" t="s">
        <v>204</v>
      </c>
      <c r="D44" s="32" t="s">
        <v>1193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109" t="s">
        <v>1123</v>
      </c>
      <c r="P44" s="32"/>
    </row>
    <row r="45" customFormat="false" ht="34.5" hidden="false" customHeight="true" outlineLevel="0" collapsed="false">
      <c r="A45" s="45" t="s">
        <v>1194</v>
      </c>
      <c r="B45" s="113" t="s">
        <v>215</v>
      </c>
      <c r="C45" s="23" t="s">
        <v>204</v>
      </c>
      <c r="D45" s="23" t="s">
        <v>216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109" t="s">
        <v>1123</v>
      </c>
      <c r="P45" s="23"/>
    </row>
    <row r="46" customFormat="false" ht="34.5" hidden="false" customHeight="true" outlineLevel="0" collapsed="false">
      <c r="A46" s="47" t="s">
        <v>1195</v>
      </c>
      <c r="B46" s="112" t="s">
        <v>218</v>
      </c>
      <c r="C46" s="32" t="s">
        <v>204</v>
      </c>
      <c r="D46" s="32" t="s">
        <v>1196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109" t="s">
        <v>1123</v>
      </c>
      <c r="P46" s="32"/>
    </row>
    <row r="47" customFormat="false" ht="34.5" hidden="false" customHeight="true" outlineLevel="0" collapsed="false">
      <c r="A47" s="45" t="s">
        <v>1197</v>
      </c>
      <c r="B47" s="113" t="s">
        <v>222</v>
      </c>
      <c r="C47" s="23" t="s">
        <v>204</v>
      </c>
      <c r="D47" s="23" t="s">
        <v>223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109" t="s">
        <v>1123</v>
      </c>
      <c r="P47" s="23"/>
    </row>
    <row r="48" customFormat="false" ht="34.5" hidden="false" customHeight="true" outlineLevel="0" collapsed="false">
      <c r="A48" s="47" t="s">
        <v>1198</v>
      </c>
      <c r="B48" s="112" t="s">
        <v>226</v>
      </c>
      <c r="C48" s="32" t="s">
        <v>204</v>
      </c>
      <c r="D48" s="32" t="s">
        <v>1199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109" t="s">
        <v>1123</v>
      </c>
      <c r="P48" s="32"/>
    </row>
    <row r="49" customFormat="false" ht="34.5" hidden="false" customHeight="true" outlineLevel="0" collapsed="false">
      <c r="A49" s="45" t="s">
        <v>1200</v>
      </c>
      <c r="B49" s="113" t="s">
        <v>229</v>
      </c>
      <c r="C49" s="23" t="s">
        <v>204</v>
      </c>
      <c r="D49" s="23" t="s">
        <v>1201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109" t="s">
        <v>1123</v>
      </c>
      <c r="P49" s="23"/>
    </row>
    <row r="50" customFormat="false" ht="34.5" hidden="false" customHeight="true" outlineLevel="0" collapsed="false">
      <c r="A50" s="47" t="s">
        <v>1202</v>
      </c>
      <c r="B50" s="112" t="s">
        <v>232</v>
      </c>
      <c r="C50" s="32" t="s">
        <v>204</v>
      </c>
      <c r="D50" s="32" t="s">
        <v>1203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109" t="s">
        <v>1123</v>
      </c>
      <c r="P50" s="32"/>
    </row>
    <row r="51" customFormat="false" ht="34.5" hidden="false" customHeight="true" outlineLevel="0" collapsed="false">
      <c r="A51" s="45" t="s">
        <v>1204</v>
      </c>
      <c r="B51" s="113" t="s">
        <v>235</v>
      </c>
      <c r="C51" s="23" t="s">
        <v>204</v>
      </c>
      <c r="D51" s="23" t="s">
        <v>1205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109" t="s">
        <v>1123</v>
      </c>
      <c r="P51" s="23"/>
    </row>
    <row r="52" customFormat="false" ht="34.5" hidden="false" customHeight="true" outlineLevel="0" collapsed="false">
      <c r="A52" s="47" t="s">
        <v>1206</v>
      </c>
      <c r="B52" s="112" t="s">
        <v>238</v>
      </c>
      <c r="C52" s="32" t="s">
        <v>204</v>
      </c>
      <c r="D52" s="32" t="s">
        <v>1207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109" t="s">
        <v>1123</v>
      </c>
      <c r="P52" s="32"/>
    </row>
    <row r="53" customFormat="false" ht="34.5" hidden="false" customHeight="true" outlineLevel="0" collapsed="false">
      <c r="A53" s="45" t="s">
        <v>1208</v>
      </c>
      <c r="B53" s="113" t="s">
        <v>241</v>
      </c>
      <c r="C53" s="23" t="s">
        <v>204</v>
      </c>
      <c r="D53" s="23" t="s">
        <v>1209</v>
      </c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109" t="s">
        <v>1123</v>
      </c>
      <c r="P53" s="23"/>
    </row>
    <row r="54" customFormat="false" ht="34.5" hidden="false" customHeight="true" outlineLevel="0" collapsed="false">
      <c r="A54" s="47" t="s">
        <v>1210</v>
      </c>
      <c r="B54" s="112" t="s">
        <v>245</v>
      </c>
      <c r="C54" s="32" t="s">
        <v>204</v>
      </c>
      <c r="D54" s="32" t="s">
        <v>246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109" t="s">
        <v>1123</v>
      </c>
      <c r="P54" s="32"/>
    </row>
    <row r="55" customFormat="false" ht="34.5" hidden="false" customHeight="true" outlineLevel="0" collapsed="false">
      <c r="A55" s="45" t="s">
        <v>1211</v>
      </c>
      <c r="B55" s="113" t="s">
        <v>249</v>
      </c>
      <c r="C55" s="23" t="s">
        <v>204</v>
      </c>
      <c r="D55" s="23" t="s">
        <v>1212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109" t="s">
        <v>1123</v>
      </c>
      <c r="P55" s="23"/>
    </row>
    <row r="56" customFormat="false" ht="34.5" hidden="false" customHeight="true" outlineLevel="0" collapsed="false">
      <c r="A56" s="47" t="s">
        <v>1213</v>
      </c>
      <c r="B56" s="112" t="s">
        <v>252</v>
      </c>
      <c r="C56" s="32" t="s">
        <v>204</v>
      </c>
      <c r="D56" s="32" t="s">
        <v>1214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109" t="s">
        <v>1123</v>
      </c>
      <c r="P56" s="32"/>
    </row>
    <row r="57" customFormat="false" ht="34.5" hidden="false" customHeight="true" outlineLevel="0" collapsed="false">
      <c r="A57" s="45" t="s">
        <v>1215</v>
      </c>
      <c r="B57" s="113" t="s">
        <v>255</v>
      </c>
      <c r="C57" s="23" t="s">
        <v>204</v>
      </c>
      <c r="D57" s="23" t="s">
        <v>256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109" t="s">
        <v>1123</v>
      </c>
      <c r="P57" s="23"/>
    </row>
    <row r="58" customFormat="false" ht="34.5" hidden="false" customHeight="true" outlineLevel="0" collapsed="false">
      <c r="A58" s="47" t="s">
        <v>1216</v>
      </c>
      <c r="B58" s="112" t="s">
        <v>258</v>
      </c>
      <c r="C58" s="32" t="s">
        <v>204</v>
      </c>
      <c r="D58" s="32" t="s">
        <v>1217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109" t="s">
        <v>1123</v>
      </c>
      <c r="P58" s="32"/>
    </row>
    <row r="59" customFormat="false" ht="34.5" hidden="false" customHeight="true" outlineLevel="0" collapsed="false">
      <c r="A59" s="45" t="s">
        <v>1218</v>
      </c>
      <c r="B59" s="113" t="s">
        <v>261</v>
      </c>
      <c r="C59" s="23" t="s">
        <v>204</v>
      </c>
      <c r="D59" s="23" t="s">
        <v>1219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109" t="s">
        <v>1123</v>
      </c>
      <c r="P59" s="23"/>
    </row>
    <row r="60" customFormat="false" ht="34.5" hidden="false" customHeight="true" outlineLevel="0" collapsed="false">
      <c r="A60" s="47" t="s">
        <v>1220</v>
      </c>
      <c r="B60" s="112" t="s">
        <v>264</v>
      </c>
      <c r="C60" s="32" t="s">
        <v>204</v>
      </c>
      <c r="D60" s="32" t="s">
        <v>1221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109" t="s">
        <v>1123</v>
      </c>
      <c r="P60" s="32"/>
    </row>
    <row r="61" customFormat="false" ht="34.5" hidden="false" customHeight="true" outlineLevel="0" collapsed="false">
      <c r="A61" s="45" t="s">
        <v>1222</v>
      </c>
      <c r="B61" s="113" t="s">
        <v>267</v>
      </c>
      <c r="C61" s="23" t="s">
        <v>204</v>
      </c>
      <c r="D61" s="23" t="s">
        <v>1223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109" t="s">
        <v>1123</v>
      </c>
      <c r="P61" s="23"/>
    </row>
    <row r="62" customFormat="false" ht="34.5" hidden="false" customHeight="true" outlineLevel="0" collapsed="false">
      <c r="A62" s="47" t="s">
        <v>1224</v>
      </c>
      <c r="B62" s="112" t="s">
        <v>270</v>
      </c>
      <c r="C62" s="32" t="s">
        <v>204</v>
      </c>
      <c r="D62" s="32" t="s">
        <v>271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109" t="s">
        <v>1123</v>
      </c>
      <c r="P62" s="32"/>
    </row>
    <row r="63" customFormat="false" ht="34.5" hidden="false" customHeight="true" outlineLevel="0" collapsed="false">
      <c r="A63" s="45" t="s">
        <v>1225</v>
      </c>
      <c r="B63" s="113" t="s">
        <v>273</v>
      </c>
      <c r="C63" s="23" t="s">
        <v>204</v>
      </c>
      <c r="D63" s="23" t="s">
        <v>1226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109" t="s">
        <v>1123</v>
      </c>
      <c r="P63" s="23"/>
    </row>
    <row r="64" customFormat="false" ht="34.5" hidden="false" customHeight="true" outlineLevel="0" collapsed="false">
      <c r="A64" s="47" t="s">
        <v>1227</v>
      </c>
      <c r="B64" s="112" t="s">
        <v>276</v>
      </c>
      <c r="C64" s="32" t="s">
        <v>204</v>
      </c>
      <c r="D64" s="32" t="s">
        <v>1228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109" t="s">
        <v>1123</v>
      </c>
      <c r="P64" s="32"/>
    </row>
    <row r="65" customFormat="false" ht="34.5" hidden="false" customHeight="true" outlineLevel="0" collapsed="false">
      <c r="A65" s="45" t="s">
        <v>1229</v>
      </c>
      <c r="B65" s="113" t="s">
        <v>280</v>
      </c>
      <c r="C65" s="23" t="s">
        <v>204</v>
      </c>
      <c r="D65" s="23" t="s">
        <v>1230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109" t="s">
        <v>1123</v>
      </c>
      <c r="P65" s="23"/>
    </row>
    <row r="66" customFormat="false" ht="34.5" hidden="false" customHeight="true" outlineLevel="0" collapsed="false">
      <c r="A66" s="47" t="s">
        <v>1231</v>
      </c>
      <c r="B66" s="112" t="s">
        <v>283</v>
      </c>
      <c r="C66" s="32" t="s">
        <v>204</v>
      </c>
      <c r="D66" s="32" t="s">
        <v>1232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109" t="s">
        <v>1123</v>
      </c>
      <c r="P66" s="32"/>
    </row>
    <row r="67" customFormat="false" ht="34.5" hidden="false" customHeight="true" outlineLevel="0" collapsed="false">
      <c r="A67" s="45" t="s">
        <v>1233</v>
      </c>
      <c r="B67" s="113" t="s">
        <v>286</v>
      </c>
      <c r="C67" s="23" t="s">
        <v>204</v>
      </c>
      <c r="D67" s="23" t="s">
        <v>287</v>
      </c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109" t="s">
        <v>1123</v>
      </c>
      <c r="P67" s="23"/>
    </row>
    <row r="68" customFormat="false" ht="34.5" hidden="false" customHeight="true" outlineLevel="0" collapsed="false">
      <c r="A68" s="47" t="s">
        <v>1234</v>
      </c>
      <c r="B68" s="112" t="s">
        <v>289</v>
      </c>
      <c r="C68" s="32" t="s">
        <v>204</v>
      </c>
      <c r="D68" s="32" t="s">
        <v>1235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109" t="s">
        <v>1123</v>
      </c>
      <c r="P68" s="32"/>
    </row>
    <row r="69" customFormat="false" ht="34.5" hidden="false" customHeight="true" outlineLevel="0" collapsed="false">
      <c r="A69" s="45" t="s">
        <v>1236</v>
      </c>
      <c r="B69" s="113" t="s">
        <v>292</v>
      </c>
      <c r="C69" s="23" t="s">
        <v>204</v>
      </c>
      <c r="D69" s="23" t="s">
        <v>1237</v>
      </c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109" t="s">
        <v>1123</v>
      </c>
      <c r="P69" s="23"/>
    </row>
    <row r="70" customFormat="false" ht="34.5" hidden="false" customHeight="true" outlineLevel="0" collapsed="false">
      <c r="A70" s="47" t="s">
        <v>1238</v>
      </c>
      <c r="B70" s="112" t="s">
        <v>295</v>
      </c>
      <c r="C70" s="32" t="s">
        <v>204</v>
      </c>
      <c r="D70" s="32" t="s">
        <v>1239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109" t="s">
        <v>1123</v>
      </c>
      <c r="P70" s="32"/>
    </row>
    <row r="71" customFormat="false" ht="34.5" hidden="false" customHeight="true" outlineLevel="0" collapsed="false">
      <c r="A71" s="45" t="s">
        <v>1240</v>
      </c>
      <c r="B71" s="113" t="s">
        <v>298</v>
      </c>
      <c r="C71" s="23" t="s">
        <v>204</v>
      </c>
      <c r="D71" s="23" t="s">
        <v>1241</v>
      </c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109" t="s">
        <v>1123</v>
      </c>
      <c r="P71" s="23"/>
    </row>
    <row r="72" customFormat="false" ht="34.5" hidden="false" customHeight="true" outlineLevel="0" collapsed="false">
      <c r="A72" s="47" t="s">
        <v>1242</v>
      </c>
      <c r="B72" s="112" t="s">
        <v>301</v>
      </c>
      <c r="C72" s="32" t="s">
        <v>204</v>
      </c>
      <c r="D72" s="32" t="s">
        <v>1243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109" t="s">
        <v>1123</v>
      </c>
      <c r="P72" s="32"/>
    </row>
    <row r="73" customFormat="false" ht="34.5" hidden="false" customHeight="true" outlineLevel="0" collapsed="false">
      <c r="A73" s="45" t="s">
        <v>1244</v>
      </c>
      <c r="B73" s="113" t="s">
        <v>305</v>
      </c>
      <c r="C73" s="23" t="s">
        <v>204</v>
      </c>
      <c r="D73" s="23" t="s">
        <v>1245</v>
      </c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109" t="s">
        <v>1123</v>
      </c>
      <c r="P73" s="23"/>
    </row>
    <row r="74" customFormat="false" ht="34.5" hidden="false" customHeight="true" outlineLevel="0" collapsed="false">
      <c r="A74" s="47" t="s">
        <v>1246</v>
      </c>
      <c r="B74" s="112" t="s">
        <v>308</v>
      </c>
      <c r="C74" s="32" t="s">
        <v>204</v>
      </c>
      <c r="D74" s="32" t="s">
        <v>1247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109" t="s">
        <v>1123</v>
      </c>
      <c r="P74" s="32"/>
    </row>
    <row r="75" customFormat="false" ht="34.5" hidden="false" customHeight="true" outlineLevel="0" collapsed="false">
      <c r="A75" s="45" t="s">
        <v>1248</v>
      </c>
      <c r="B75" s="113" t="s">
        <v>312</v>
      </c>
      <c r="C75" s="23" t="s">
        <v>204</v>
      </c>
      <c r="D75" s="23" t="s">
        <v>1249</v>
      </c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109" t="s">
        <v>1123</v>
      </c>
      <c r="P75" s="23"/>
    </row>
    <row r="76" customFormat="false" ht="34.5" hidden="false" customHeight="true" outlineLevel="0" collapsed="false">
      <c r="A76" s="47" t="s">
        <v>1250</v>
      </c>
      <c r="B76" s="112" t="s">
        <v>315</v>
      </c>
      <c r="C76" s="32" t="s">
        <v>204</v>
      </c>
      <c r="D76" s="32" t="s">
        <v>1251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109" t="s">
        <v>1123</v>
      </c>
      <c r="P76" s="32"/>
    </row>
    <row r="77" customFormat="false" ht="34.5" hidden="false" customHeight="true" outlineLevel="0" collapsed="false">
      <c r="A77" s="45" t="s">
        <v>1252</v>
      </c>
      <c r="B77" s="113" t="s">
        <v>319</v>
      </c>
      <c r="C77" s="23" t="s">
        <v>204</v>
      </c>
      <c r="D77" s="23" t="s">
        <v>1253</v>
      </c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109" t="s">
        <v>1123</v>
      </c>
      <c r="P77" s="23"/>
    </row>
    <row r="78" customFormat="false" ht="34.5" hidden="false" customHeight="true" outlineLevel="0" collapsed="false">
      <c r="A78" s="47" t="s">
        <v>1254</v>
      </c>
      <c r="B78" s="44" t="s">
        <v>323</v>
      </c>
      <c r="C78" s="32" t="s">
        <v>322</v>
      </c>
      <c r="D78" s="32" t="s">
        <v>1255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109" t="s">
        <v>1123</v>
      </c>
      <c r="P78" s="32"/>
    </row>
    <row r="79" customFormat="false" ht="34.5" hidden="false" customHeight="true" outlineLevel="0" collapsed="false">
      <c r="A79" s="45" t="s">
        <v>1256</v>
      </c>
      <c r="B79" s="96" t="s">
        <v>327</v>
      </c>
      <c r="C79" s="23" t="s">
        <v>322</v>
      </c>
      <c r="D79" s="23" t="s">
        <v>1257</v>
      </c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109" t="s">
        <v>1123</v>
      </c>
      <c r="P79" s="23"/>
    </row>
    <row r="80" customFormat="false" ht="34.5" hidden="false" customHeight="true" outlineLevel="0" collapsed="false">
      <c r="A80" s="47" t="s">
        <v>1258</v>
      </c>
      <c r="B80" s="44" t="s">
        <v>330</v>
      </c>
      <c r="C80" s="32" t="s">
        <v>322</v>
      </c>
      <c r="D80" s="32" t="s">
        <v>1259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109" t="s">
        <v>1123</v>
      </c>
      <c r="P80" s="32"/>
    </row>
    <row r="81" customFormat="false" ht="34.5" hidden="false" customHeight="true" outlineLevel="0" collapsed="false">
      <c r="A81" s="45" t="s">
        <v>1260</v>
      </c>
      <c r="B81" s="96" t="s">
        <v>333</v>
      </c>
      <c r="C81" s="23" t="s">
        <v>322</v>
      </c>
      <c r="D81" s="23" t="s">
        <v>334</v>
      </c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109" t="s">
        <v>1123</v>
      </c>
      <c r="P81" s="23"/>
    </row>
    <row r="82" customFormat="false" ht="34.5" hidden="false" customHeight="true" outlineLevel="0" collapsed="false">
      <c r="A82" s="47" t="s">
        <v>1261</v>
      </c>
      <c r="B82" s="44" t="s">
        <v>336</v>
      </c>
      <c r="C82" s="32" t="s">
        <v>322</v>
      </c>
      <c r="D82" s="32" t="s">
        <v>1262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109" t="s">
        <v>1123</v>
      </c>
      <c r="P82" s="32"/>
    </row>
    <row r="83" customFormat="false" ht="34.5" hidden="false" customHeight="true" outlineLevel="0" collapsed="false">
      <c r="A83" s="45" t="s">
        <v>1263</v>
      </c>
      <c r="B83" s="96" t="s">
        <v>339</v>
      </c>
      <c r="C83" s="23" t="s">
        <v>322</v>
      </c>
      <c r="D83" s="23" t="s">
        <v>1264</v>
      </c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109" t="s">
        <v>1123</v>
      </c>
      <c r="P83" s="23"/>
    </row>
    <row r="84" customFormat="false" ht="34.5" hidden="false" customHeight="true" outlineLevel="0" collapsed="false">
      <c r="A84" s="47" t="s">
        <v>1265</v>
      </c>
      <c r="B84" s="44" t="s">
        <v>342</v>
      </c>
      <c r="C84" s="32" t="s">
        <v>322</v>
      </c>
      <c r="D84" s="32" t="s">
        <v>1266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109" t="s">
        <v>1123</v>
      </c>
      <c r="P84" s="32"/>
    </row>
    <row r="85" customFormat="false" ht="34.5" hidden="false" customHeight="true" outlineLevel="0" collapsed="false">
      <c r="A85" s="45" t="s">
        <v>1267</v>
      </c>
      <c r="B85" s="96" t="s">
        <v>345</v>
      </c>
      <c r="C85" s="23" t="s">
        <v>322</v>
      </c>
      <c r="D85" s="23" t="s">
        <v>1268</v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109" t="s">
        <v>1123</v>
      </c>
      <c r="P85" s="23"/>
    </row>
    <row r="86" customFormat="false" ht="34.5" hidden="false" customHeight="true" outlineLevel="0" collapsed="false">
      <c r="A86" s="47" t="s">
        <v>1269</v>
      </c>
      <c r="B86" s="114" t="s">
        <v>349</v>
      </c>
      <c r="C86" s="32" t="s">
        <v>348</v>
      </c>
      <c r="D86" s="32" t="s">
        <v>1270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109" t="s">
        <v>1123</v>
      </c>
      <c r="P86" s="32"/>
    </row>
    <row r="87" customFormat="false" ht="34.5" hidden="false" customHeight="true" outlineLevel="0" collapsed="false">
      <c r="A87" s="45" t="s">
        <v>1271</v>
      </c>
      <c r="B87" s="115" t="s">
        <v>353</v>
      </c>
      <c r="C87" s="23" t="s">
        <v>348</v>
      </c>
      <c r="D87" s="23" t="s">
        <v>1272</v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109" t="s">
        <v>1123</v>
      </c>
      <c r="P87" s="23"/>
    </row>
    <row r="88" customFormat="false" ht="34.5" hidden="false" customHeight="true" outlineLevel="0" collapsed="false">
      <c r="A88" s="47" t="s">
        <v>1273</v>
      </c>
      <c r="B88" s="114" t="s">
        <v>356</v>
      </c>
      <c r="C88" s="32" t="s">
        <v>348</v>
      </c>
      <c r="D88" s="32" t="s">
        <v>1274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109" t="s">
        <v>1123</v>
      </c>
      <c r="P88" s="32"/>
    </row>
    <row r="89" customFormat="false" ht="34.5" hidden="false" customHeight="true" outlineLevel="0" collapsed="false">
      <c r="A89" s="45" t="s">
        <v>1275</v>
      </c>
      <c r="B89" s="115" t="s">
        <v>359</v>
      </c>
      <c r="C89" s="23" t="s">
        <v>348</v>
      </c>
      <c r="D89" s="23" t="s">
        <v>360</v>
      </c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109" t="s">
        <v>1123</v>
      </c>
      <c r="P89" s="23"/>
    </row>
    <row r="90" customFormat="false" ht="34.5" hidden="false" customHeight="true" outlineLevel="0" collapsed="false">
      <c r="A90" s="47" t="s">
        <v>1276</v>
      </c>
      <c r="B90" s="114" t="s">
        <v>362</v>
      </c>
      <c r="C90" s="32" t="s">
        <v>348</v>
      </c>
      <c r="D90" s="32" t="s">
        <v>1277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109" t="s">
        <v>1123</v>
      </c>
      <c r="P90" s="32"/>
    </row>
    <row r="91" customFormat="false" ht="34.5" hidden="false" customHeight="true" outlineLevel="0" collapsed="false">
      <c r="A91" s="45" t="s">
        <v>1278</v>
      </c>
      <c r="B91" s="115" t="s">
        <v>365</v>
      </c>
      <c r="C91" s="23" t="s">
        <v>348</v>
      </c>
      <c r="D91" s="23" t="s">
        <v>1279</v>
      </c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109" t="s">
        <v>1123</v>
      </c>
      <c r="P91" s="23"/>
    </row>
    <row r="92" customFormat="false" ht="34.5" hidden="false" customHeight="true" outlineLevel="0" collapsed="false">
      <c r="A92" s="47" t="s">
        <v>1280</v>
      </c>
      <c r="B92" s="114" t="s">
        <v>368</v>
      </c>
      <c r="C92" s="32" t="s">
        <v>348</v>
      </c>
      <c r="D92" s="32" t="s">
        <v>1281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109" t="s">
        <v>1123</v>
      </c>
      <c r="P92" s="32"/>
    </row>
    <row r="93" customFormat="false" ht="34.5" hidden="false" customHeight="true" outlineLevel="0" collapsed="false">
      <c r="A93" s="45" t="s">
        <v>1282</v>
      </c>
      <c r="B93" s="115" t="s">
        <v>372</v>
      </c>
      <c r="C93" s="23" t="s">
        <v>348</v>
      </c>
      <c r="D93" s="23" t="s">
        <v>1283</v>
      </c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109" t="s">
        <v>1123</v>
      </c>
      <c r="P93" s="23"/>
    </row>
    <row r="94" customFormat="false" ht="34.5" hidden="false" customHeight="true" outlineLevel="0" collapsed="false">
      <c r="A94" s="47" t="s">
        <v>1284</v>
      </c>
      <c r="B94" s="114" t="s">
        <v>376</v>
      </c>
      <c r="C94" s="32" t="s">
        <v>348</v>
      </c>
      <c r="D94" s="32" t="s">
        <v>377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109" t="s">
        <v>1123</v>
      </c>
      <c r="P94" s="32"/>
    </row>
    <row r="95" customFormat="false" ht="34.5" hidden="false" customHeight="true" outlineLevel="0" collapsed="false">
      <c r="A95" s="45" t="s">
        <v>1285</v>
      </c>
      <c r="B95" s="115" t="s">
        <v>379</v>
      </c>
      <c r="C95" s="23" t="s">
        <v>348</v>
      </c>
      <c r="D95" s="23" t="s">
        <v>380</v>
      </c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109" t="s">
        <v>1123</v>
      </c>
      <c r="P95" s="23"/>
    </row>
    <row r="96" customFormat="false" ht="34.5" hidden="false" customHeight="true" outlineLevel="0" collapsed="false">
      <c r="A96" s="47" t="s">
        <v>1286</v>
      </c>
      <c r="B96" s="114" t="s">
        <v>382</v>
      </c>
      <c r="C96" s="32" t="s">
        <v>348</v>
      </c>
      <c r="D96" s="32" t="s">
        <v>1287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109" t="s">
        <v>1123</v>
      </c>
      <c r="P96" s="32"/>
    </row>
    <row r="97" customFormat="false" ht="34.5" hidden="false" customHeight="true" outlineLevel="0" collapsed="false">
      <c r="A97" s="45" t="s">
        <v>1288</v>
      </c>
      <c r="B97" s="115" t="s">
        <v>385</v>
      </c>
      <c r="C97" s="23" t="s">
        <v>348</v>
      </c>
      <c r="D97" s="23" t="s">
        <v>1289</v>
      </c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109" t="s">
        <v>1123</v>
      </c>
      <c r="P97" s="23"/>
    </row>
    <row r="98" customFormat="false" ht="34.5" hidden="false" customHeight="true" outlineLevel="0" collapsed="false">
      <c r="A98" s="47" t="s">
        <v>1290</v>
      </c>
      <c r="B98" s="114" t="s">
        <v>388</v>
      </c>
      <c r="C98" s="32" t="s">
        <v>348</v>
      </c>
      <c r="D98" s="32" t="s">
        <v>1291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109" t="s">
        <v>1123</v>
      </c>
      <c r="P98" s="32"/>
    </row>
    <row r="99" customFormat="false" ht="34.5" hidden="false" customHeight="true" outlineLevel="0" collapsed="false">
      <c r="A99" s="45" t="s">
        <v>1292</v>
      </c>
      <c r="B99" s="115" t="s">
        <v>392</v>
      </c>
      <c r="C99" s="23" t="s">
        <v>348</v>
      </c>
      <c r="D99" s="23" t="s">
        <v>1293</v>
      </c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109" t="s">
        <v>1123</v>
      </c>
      <c r="P99" s="23"/>
    </row>
    <row r="100" customFormat="false" ht="34.5" hidden="false" customHeight="true" outlineLevel="0" collapsed="false">
      <c r="A100" s="47" t="s">
        <v>1294</v>
      </c>
      <c r="B100" s="114" t="s">
        <v>395</v>
      </c>
      <c r="C100" s="32" t="s">
        <v>348</v>
      </c>
      <c r="D100" s="32" t="s">
        <v>1295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109" t="s">
        <v>1123</v>
      </c>
      <c r="P100" s="32"/>
    </row>
    <row r="101" customFormat="false" ht="34.5" hidden="false" customHeight="true" outlineLevel="0" collapsed="false">
      <c r="A101" s="45" t="s">
        <v>1296</v>
      </c>
      <c r="B101" s="115" t="s">
        <v>398</v>
      </c>
      <c r="C101" s="23" t="s">
        <v>348</v>
      </c>
      <c r="D101" s="23" t="s">
        <v>399</v>
      </c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109" t="s">
        <v>1123</v>
      </c>
      <c r="P101" s="23"/>
    </row>
    <row r="102" customFormat="false" ht="34.5" hidden="false" customHeight="true" outlineLevel="0" collapsed="false">
      <c r="A102" s="47" t="s">
        <v>1297</v>
      </c>
      <c r="B102" s="114" t="s">
        <v>401</v>
      </c>
      <c r="C102" s="32" t="s">
        <v>348</v>
      </c>
      <c r="D102" s="32" t="s">
        <v>1298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109" t="s">
        <v>1123</v>
      </c>
      <c r="P102" s="32"/>
    </row>
    <row r="103" customFormat="false" ht="34.5" hidden="false" customHeight="true" outlineLevel="0" collapsed="false">
      <c r="A103" s="45" t="s">
        <v>1299</v>
      </c>
      <c r="B103" s="24" t="s">
        <v>405</v>
      </c>
      <c r="C103" s="23" t="s">
        <v>404</v>
      </c>
      <c r="D103" s="23" t="s">
        <v>1300</v>
      </c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109" t="s">
        <v>1123</v>
      </c>
      <c r="P103" s="23"/>
    </row>
    <row r="104" customFormat="false" ht="34.5" hidden="false" customHeight="true" outlineLevel="0" collapsed="false">
      <c r="A104" s="47" t="s">
        <v>1301</v>
      </c>
      <c r="B104" s="39" t="s">
        <v>409</v>
      </c>
      <c r="C104" s="32" t="s">
        <v>404</v>
      </c>
      <c r="D104" s="32" t="s">
        <v>1302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109" t="s">
        <v>1123</v>
      </c>
      <c r="P104" s="32"/>
    </row>
    <row r="105" customFormat="false" ht="34.5" hidden="false" customHeight="true" outlineLevel="0" collapsed="false">
      <c r="A105" s="45" t="s">
        <v>1303</v>
      </c>
      <c r="B105" s="24" t="s">
        <v>412</v>
      </c>
      <c r="C105" s="23" t="s">
        <v>404</v>
      </c>
      <c r="D105" s="23" t="s">
        <v>1304</v>
      </c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109" t="s">
        <v>1123</v>
      </c>
      <c r="P105" s="23"/>
    </row>
    <row r="106" customFormat="false" ht="34.5" hidden="false" customHeight="true" outlineLevel="0" collapsed="false">
      <c r="A106" s="47" t="s">
        <v>1305</v>
      </c>
      <c r="B106" s="39" t="s">
        <v>415</v>
      </c>
      <c r="C106" s="32" t="s">
        <v>404</v>
      </c>
      <c r="D106" s="32" t="s">
        <v>416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109" t="s">
        <v>1123</v>
      </c>
      <c r="P106" s="32"/>
    </row>
    <row r="107" customFormat="false" ht="34.5" hidden="false" customHeight="true" outlineLevel="0" collapsed="false">
      <c r="A107" s="45" t="s">
        <v>1306</v>
      </c>
      <c r="B107" s="24" t="s">
        <v>419</v>
      </c>
      <c r="C107" s="23" t="s">
        <v>404</v>
      </c>
      <c r="D107" s="23" t="s">
        <v>1307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109" t="s">
        <v>1123</v>
      </c>
      <c r="P107" s="23"/>
    </row>
    <row r="108" customFormat="false" ht="34.5" hidden="false" customHeight="true" outlineLevel="0" collapsed="false">
      <c r="A108" s="47" t="s">
        <v>1308</v>
      </c>
      <c r="B108" s="39" t="s">
        <v>422</v>
      </c>
      <c r="C108" s="32" t="s">
        <v>404</v>
      </c>
      <c r="D108" s="32" t="s">
        <v>1309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109" t="s">
        <v>1123</v>
      </c>
      <c r="P108" s="32"/>
    </row>
    <row r="109" customFormat="false" ht="34.5" hidden="false" customHeight="true" outlineLevel="0" collapsed="false">
      <c r="A109" s="45" t="s">
        <v>1310</v>
      </c>
      <c r="B109" s="24" t="s">
        <v>426</v>
      </c>
      <c r="C109" s="23" t="s">
        <v>404</v>
      </c>
      <c r="D109" s="23" t="s">
        <v>1311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109" t="s">
        <v>1123</v>
      </c>
      <c r="P109" s="23"/>
    </row>
    <row r="110" customFormat="false" ht="34.5" hidden="false" customHeight="true" outlineLevel="0" collapsed="false">
      <c r="A110" s="47" t="s">
        <v>1312</v>
      </c>
      <c r="B110" s="39" t="s">
        <v>430</v>
      </c>
      <c r="C110" s="32" t="s">
        <v>404</v>
      </c>
      <c r="D110" s="32" t="s">
        <v>1313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109" t="s">
        <v>1123</v>
      </c>
      <c r="P110" s="32"/>
    </row>
    <row r="111" customFormat="false" ht="34.5" hidden="false" customHeight="true" outlineLevel="0" collapsed="false">
      <c r="A111" s="45" t="s">
        <v>1314</v>
      </c>
      <c r="B111" s="24" t="s">
        <v>433</v>
      </c>
      <c r="C111" s="23" t="s">
        <v>404</v>
      </c>
      <c r="D111" s="23" t="s">
        <v>1315</v>
      </c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109" t="s">
        <v>1123</v>
      </c>
      <c r="P111" s="23"/>
    </row>
    <row r="112" customFormat="false" ht="34.5" hidden="false" customHeight="true" outlineLevel="0" collapsed="false">
      <c r="A112" s="47" t="s">
        <v>1316</v>
      </c>
      <c r="B112" s="39" t="s">
        <v>436</v>
      </c>
      <c r="C112" s="32" t="s">
        <v>404</v>
      </c>
      <c r="D112" s="32" t="s">
        <v>437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109" t="s">
        <v>1123</v>
      </c>
      <c r="P112" s="32"/>
    </row>
    <row r="113" customFormat="false" ht="34.5" hidden="false" customHeight="true" outlineLevel="0" collapsed="false">
      <c r="A113" s="45" t="s">
        <v>1317</v>
      </c>
      <c r="B113" s="24" t="s">
        <v>439</v>
      </c>
      <c r="C113" s="23" t="s">
        <v>404</v>
      </c>
      <c r="D113" s="23" t="s">
        <v>1318</v>
      </c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109" t="s">
        <v>1123</v>
      </c>
      <c r="P113" s="23"/>
    </row>
    <row r="114" customFormat="false" ht="34.5" hidden="false" customHeight="true" outlineLevel="0" collapsed="false">
      <c r="A114" s="47" t="s">
        <v>1319</v>
      </c>
      <c r="B114" s="39" t="s">
        <v>442</v>
      </c>
      <c r="C114" s="32" t="s">
        <v>404</v>
      </c>
      <c r="D114" s="32" t="s">
        <v>1320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109" t="s">
        <v>1123</v>
      </c>
      <c r="P114" s="32"/>
    </row>
    <row r="115" customFormat="false" ht="34.5" hidden="false" customHeight="true" outlineLevel="0" collapsed="false">
      <c r="A115" s="45" t="s">
        <v>1321</v>
      </c>
      <c r="B115" s="24" t="s">
        <v>445</v>
      </c>
      <c r="C115" s="23" t="s">
        <v>404</v>
      </c>
      <c r="D115" s="23" t="s">
        <v>1322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109" t="s">
        <v>1123</v>
      </c>
      <c r="P115" s="23"/>
    </row>
    <row r="116" customFormat="false" ht="34.5" hidden="false" customHeight="true" outlineLevel="0" collapsed="false">
      <c r="A116" s="47" t="s">
        <v>1323</v>
      </c>
      <c r="B116" s="39" t="s">
        <v>449</v>
      </c>
      <c r="C116" s="32" t="s">
        <v>404</v>
      </c>
      <c r="D116" s="32" t="s">
        <v>450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109" t="s">
        <v>1123</v>
      </c>
      <c r="P116" s="32"/>
    </row>
    <row r="117" customFormat="false" ht="34.5" hidden="false" customHeight="true" outlineLevel="0" collapsed="false">
      <c r="A117" s="45" t="s">
        <v>1324</v>
      </c>
      <c r="B117" s="24" t="s">
        <v>452</v>
      </c>
      <c r="C117" s="23" t="s">
        <v>404</v>
      </c>
      <c r="D117" s="23" t="s">
        <v>1325</v>
      </c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109" t="s">
        <v>1123</v>
      </c>
      <c r="P117" s="23"/>
    </row>
    <row r="118" customFormat="false" ht="34.5" hidden="false" customHeight="true" outlineLevel="0" collapsed="false">
      <c r="A118" s="47" t="s">
        <v>1326</v>
      </c>
      <c r="B118" s="39" t="s">
        <v>456</v>
      </c>
      <c r="C118" s="32" t="s">
        <v>404</v>
      </c>
      <c r="D118" s="32" t="s">
        <v>1327</v>
      </c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109" t="s">
        <v>1123</v>
      </c>
      <c r="P118" s="32"/>
    </row>
    <row r="119" customFormat="false" ht="34.5" hidden="false" customHeight="true" outlineLevel="0" collapsed="false">
      <c r="A119" s="45" t="s">
        <v>1328</v>
      </c>
      <c r="B119" s="24" t="s">
        <v>459</v>
      </c>
      <c r="C119" s="23" t="s">
        <v>404</v>
      </c>
      <c r="D119" s="23" t="s">
        <v>1329</v>
      </c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109" t="s">
        <v>1123</v>
      </c>
      <c r="P119" s="23"/>
    </row>
    <row r="120" customFormat="false" ht="34.5" hidden="false" customHeight="true" outlineLevel="0" collapsed="false">
      <c r="A120" s="47" t="s">
        <v>1330</v>
      </c>
      <c r="B120" s="39" t="s">
        <v>462</v>
      </c>
      <c r="C120" s="32" t="s">
        <v>404</v>
      </c>
      <c r="D120" s="32" t="s">
        <v>463</v>
      </c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109" t="s">
        <v>1123</v>
      </c>
      <c r="P120" s="32"/>
    </row>
    <row r="121" customFormat="false" ht="34.5" hidden="false" customHeight="true" outlineLevel="0" collapsed="false">
      <c r="A121" s="45" t="s">
        <v>1331</v>
      </c>
      <c r="B121" s="24" t="s">
        <v>465</v>
      </c>
      <c r="C121" s="23" t="s">
        <v>404</v>
      </c>
      <c r="D121" s="23" t="s">
        <v>1332</v>
      </c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109" t="s">
        <v>1123</v>
      </c>
      <c r="P121" s="23"/>
    </row>
    <row r="122" customFormat="false" ht="34.5" hidden="false" customHeight="true" outlineLevel="0" collapsed="false">
      <c r="A122" s="47" t="s">
        <v>1333</v>
      </c>
      <c r="B122" s="39" t="s">
        <v>468</v>
      </c>
      <c r="C122" s="32" t="s">
        <v>404</v>
      </c>
      <c r="D122" s="32" t="s">
        <v>1334</v>
      </c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109" t="s">
        <v>1123</v>
      </c>
      <c r="P122" s="32"/>
    </row>
    <row r="123" customFormat="false" ht="34.5" hidden="false" customHeight="true" outlineLevel="0" collapsed="false">
      <c r="A123" s="45" t="s">
        <v>1335</v>
      </c>
      <c r="B123" s="24" t="s">
        <v>472</v>
      </c>
      <c r="C123" s="23" t="s">
        <v>404</v>
      </c>
      <c r="D123" s="23" t="s">
        <v>1336</v>
      </c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109" t="s">
        <v>1123</v>
      </c>
      <c r="P123" s="23"/>
    </row>
    <row r="124" customFormat="false" ht="34.5" hidden="false" customHeight="true" outlineLevel="0" collapsed="false">
      <c r="A124" s="47" t="s">
        <v>1337</v>
      </c>
      <c r="B124" s="39" t="s">
        <v>475</v>
      </c>
      <c r="C124" s="32" t="s">
        <v>404</v>
      </c>
      <c r="D124" s="32" t="s">
        <v>1338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109" t="s">
        <v>1123</v>
      </c>
      <c r="P124" s="32"/>
    </row>
    <row r="125" customFormat="false" ht="34.5" hidden="false" customHeight="true" outlineLevel="0" collapsed="false">
      <c r="A125" s="45" t="s">
        <v>1339</v>
      </c>
      <c r="B125" s="24" t="s">
        <v>478</v>
      </c>
      <c r="C125" s="23" t="s">
        <v>404</v>
      </c>
      <c r="D125" s="23" t="s">
        <v>1340</v>
      </c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109" t="s">
        <v>1123</v>
      </c>
      <c r="P125" s="23"/>
    </row>
    <row r="126" customFormat="false" ht="34.5" hidden="false" customHeight="true" outlineLevel="0" collapsed="false">
      <c r="A126" s="47" t="s">
        <v>1341</v>
      </c>
      <c r="B126" s="39" t="s">
        <v>481</v>
      </c>
      <c r="C126" s="32" t="s">
        <v>404</v>
      </c>
      <c r="D126" s="32" t="s">
        <v>1342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109" t="s">
        <v>1123</v>
      </c>
      <c r="P126" s="32"/>
    </row>
    <row r="127" customFormat="false" ht="34.5" hidden="false" customHeight="true" outlineLevel="0" collapsed="false">
      <c r="A127" s="45" t="s">
        <v>1343</v>
      </c>
      <c r="B127" s="116" t="s">
        <v>485</v>
      </c>
      <c r="C127" s="23" t="s">
        <v>484</v>
      </c>
      <c r="D127" s="23" t="s">
        <v>1344</v>
      </c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109" t="s">
        <v>1123</v>
      </c>
      <c r="P127" s="23"/>
    </row>
    <row r="128" customFormat="false" ht="34.5" hidden="false" customHeight="true" outlineLevel="0" collapsed="false">
      <c r="A128" s="47" t="s">
        <v>1345</v>
      </c>
      <c r="B128" s="117" t="s">
        <v>489</v>
      </c>
      <c r="C128" s="32" t="s">
        <v>484</v>
      </c>
      <c r="D128" s="32" t="s">
        <v>1346</v>
      </c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109" t="s">
        <v>1123</v>
      </c>
      <c r="P128" s="32"/>
    </row>
    <row r="129" customFormat="false" ht="34.5" hidden="false" customHeight="true" outlineLevel="0" collapsed="false">
      <c r="A129" s="45" t="s">
        <v>1347</v>
      </c>
      <c r="B129" s="116" t="s">
        <v>492</v>
      </c>
      <c r="C129" s="23" t="s">
        <v>484</v>
      </c>
      <c r="D129" s="23" t="s">
        <v>1348</v>
      </c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109" t="s">
        <v>1123</v>
      </c>
      <c r="P129" s="23"/>
    </row>
    <row r="130" customFormat="false" ht="34.5" hidden="false" customHeight="true" outlineLevel="0" collapsed="false">
      <c r="A130" s="47" t="s">
        <v>1349</v>
      </c>
      <c r="B130" s="117" t="s">
        <v>495</v>
      </c>
      <c r="C130" s="32" t="s">
        <v>484</v>
      </c>
      <c r="D130" s="32" t="s">
        <v>496</v>
      </c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109" t="s">
        <v>1123</v>
      </c>
      <c r="P130" s="32"/>
    </row>
    <row r="131" customFormat="false" ht="34.5" hidden="false" customHeight="true" outlineLevel="0" collapsed="false">
      <c r="A131" s="45" t="s">
        <v>1350</v>
      </c>
      <c r="B131" s="116" t="s">
        <v>499</v>
      </c>
      <c r="C131" s="23" t="s">
        <v>484</v>
      </c>
      <c r="D131" s="23" t="s">
        <v>1351</v>
      </c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109" t="s">
        <v>1123</v>
      </c>
      <c r="P131" s="23"/>
    </row>
    <row r="132" customFormat="false" ht="34.5" hidden="false" customHeight="true" outlineLevel="0" collapsed="false">
      <c r="A132" s="47" t="s">
        <v>1352</v>
      </c>
      <c r="B132" s="117" t="s">
        <v>502</v>
      </c>
      <c r="C132" s="32" t="s">
        <v>484</v>
      </c>
      <c r="D132" s="32" t="s">
        <v>1353</v>
      </c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109" t="s">
        <v>1123</v>
      </c>
      <c r="P132" s="32"/>
    </row>
    <row r="133" customFormat="false" ht="34.5" hidden="false" customHeight="true" outlineLevel="0" collapsed="false">
      <c r="A133" s="45" t="s">
        <v>1354</v>
      </c>
      <c r="B133" s="116" t="s">
        <v>505</v>
      </c>
      <c r="C133" s="23" t="s">
        <v>484</v>
      </c>
      <c r="D133" s="23" t="s">
        <v>506</v>
      </c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109" t="s">
        <v>1123</v>
      </c>
      <c r="P133" s="23"/>
    </row>
    <row r="134" customFormat="false" ht="34.5" hidden="false" customHeight="true" outlineLevel="0" collapsed="false">
      <c r="A134" s="47" t="s">
        <v>1355</v>
      </c>
      <c r="B134" s="117" t="s">
        <v>509</v>
      </c>
      <c r="C134" s="32" t="s">
        <v>484</v>
      </c>
      <c r="D134" s="32" t="s">
        <v>1356</v>
      </c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109" t="s">
        <v>1123</v>
      </c>
      <c r="P134" s="32"/>
    </row>
    <row r="135" customFormat="false" ht="34.5" hidden="false" customHeight="true" outlineLevel="0" collapsed="false">
      <c r="A135" s="45" t="s">
        <v>1357</v>
      </c>
      <c r="B135" s="116" t="s">
        <v>512</v>
      </c>
      <c r="C135" s="23" t="s">
        <v>484</v>
      </c>
      <c r="D135" s="23" t="s">
        <v>1358</v>
      </c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109" t="s">
        <v>1123</v>
      </c>
      <c r="P135" s="23"/>
    </row>
    <row r="136" customFormat="false" ht="34.5" hidden="false" customHeight="true" outlineLevel="0" collapsed="false">
      <c r="A136" s="47" t="s">
        <v>1359</v>
      </c>
      <c r="B136" s="117" t="s">
        <v>515</v>
      </c>
      <c r="C136" s="32" t="s">
        <v>484</v>
      </c>
      <c r="D136" s="32" t="s">
        <v>1360</v>
      </c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109" t="s">
        <v>1123</v>
      </c>
      <c r="P136" s="32"/>
    </row>
    <row r="137" customFormat="false" ht="34.5" hidden="false" customHeight="true" outlineLevel="0" collapsed="false">
      <c r="A137" s="45" t="s">
        <v>1361</v>
      </c>
      <c r="B137" s="116" t="s">
        <v>518</v>
      </c>
      <c r="C137" s="23" t="s">
        <v>484</v>
      </c>
      <c r="D137" s="23" t="s">
        <v>1362</v>
      </c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109" t="s">
        <v>1123</v>
      </c>
      <c r="P137" s="23"/>
    </row>
    <row r="138" customFormat="false" ht="34.5" hidden="false" customHeight="true" outlineLevel="0" collapsed="false">
      <c r="A138" s="47" t="s">
        <v>1363</v>
      </c>
      <c r="B138" s="117" t="s">
        <v>521</v>
      </c>
      <c r="C138" s="32" t="s">
        <v>484</v>
      </c>
      <c r="D138" s="32" t="s">
        <v>1364</v>
      </c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109" t="s">
        <v>1123</v>
      </c>
      <c r="P138" s="32"/>
    </row>
    <row r="139" customFormat="false" ht="34.5" hidden="false" customHeight="true" outlineLevel="0" collapsed="false">
      <c r="A139" s="45" t="s">
        <v>1365</v>
      </c>
      <c r="B139" s="116" t="s">
        <v>524</v>
      </c>
      <c r="C139" s="23" t="s">
        <v>484</v>
      </c>
      <c r="D139" s="23" t="s">
        <v>1366</v>
      </c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109" t="s">
        <v>1123</v>
      </c>
      <c r="P139" s="23"/>
    </row>
    <row r="140" customFormat="false" ht="34.5" hidden="false" customHeight="true" outlineLevel="0" collapsed="false">
      <c r="A140" s="47" t="s">
        <v>1367</v>
      </c>
      <c r="B140" s="117" t="s">
        <v>527</v>
      </c>
      <c r="C140" s="32" t="s">
        <v>484</v>
      </c>
      <c r="D140" s="32" t="s">
        <v>1368</v>
      </c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109" t="s">
        <v>1123</v>
      </c>
      <c r="P140" s="32"/>
    </row>
    <row r="141" customFormat="false" ht="34.5" hidden="false" customHeight="true" outlineLevel="0" collapsed="false">
      <c r="A141" s="45" t="s">
        <v>1369</v>
      </c>
      <c r="B141" s="116" t="s">
        <v>530</v>
      </c>
      <c r="C141" s="23" t="s">
        <v>484</v>
      </c>
      <c r="D141" s="23" t="s">
        <v>531</v>
      </c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109" t="s">
        <v>1123</v>
      </c>
      <c r="P141" s="23"/>
    </row>
    <row r="142" customFormat="false" ht="34.5" hidden="false" customHeight="true" outlineLevel="0" collapsed="false">
      <c r="A142" s="47" t="s">
        <v>1370</v>
      </c>
      <c r="B142" s="118" t="s">
        <v>534</v>
      </c>
      <c r="C142" s="32" t="s">
        <v>533</v>
      </c>
      <c r="D142" s="32" t="s">
        <v>1371</v>
      </c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109" t="s">
        <v>1123</v>
      </c>
      <c r="P142" s="32"/>
    </row>
    <row r="143" customFormat="false" ht="34.5" hidden="false" customHeight="true" outlineLevel="0" collapsed="false">
      <c r="A143" s="45" t="s">
        <v>1372</v>
      </c>
      <c r="B143" s="119" t="s">
        <v>538</v>
      </c>
      <c r="C143" s="23" t="s">
        <v>533</v>
      </c>
      <c r="D143" s="23" t="s">
        <v>1373</v>
      </c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109" t="s">
        <v>1123</v>
      </c>
      <c r="P143" s="23"/>
    </row>
    <row r="144" customFormat="false" ht="34.5" hidden="false" customHeight="true" outlineLevel="0" collapsed="false">
      <c r="A144" s="47" t="s">
        <v>1374</v>
      </c>
      <c r="B144" s="118" t="s">
        <v>541</v>
      </c>
      <c r="C144" s="32" t="s">
        <v>533</v>
      </c>
      <c r="D144" s="32" t="s">
        <v>1375</v>
      </c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109" t="s">
        <v>1123</v>
      </c>
      <c r="P144" s="32"/>
    </row>
    <row r="145" customFormat="false" ht="34.5" hidden="false" customHeight="true" outlineLevel="0" collapsed="false">
      <c r="A145" s="45" t="s">
        <v>1376</v>
      </c>
      <c r="B145" s="119" t="s">
        <v>544</v>
      </c>
      <c r="C145" s="23" t="s">
        <v>533</v>
      </c>
      <c r="D145" s="23" t="s">
        <v>1377</v>
      </c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109" t="s">
        <v>1123</v>
      </c>
      <c r="P145" s="23"/>
    </row>
    <row r="146" customFormat="false" ht="34.5" hidden="false" customHeight="true" outlineLevel="0" collapsed="false">
      <c r="A146" s="47" t="s">
        <v>1378</v>
      </c>
      <c r="B146" s="118" t="s">
        <v>547</v>
      </c>
      <c r="C146" s="32" t="s">
        <v>533</v>
      </c>
      <c r="D146" s="32" t="s">
        <v>1379</v>
      </c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109" t="s">
        <v>1123</v>
      </c>
      <c r="P146" s="32"/>
    </row>
    <row r="147" customFormat="false" ht="34.5" hidden="false" customHeight="true" outlineLevel="0" collapsed="false">
      <c r="A147" s="45" t="s">
        <v>1380</v>
      </c>
      <c r="B147" s="119" t="s">
        <v>550</v>
      </c>
      <c r="C147" s="23" t="s">
        <v>533</v>
      </c>
      <c r="D147" s="23" t="s">
        <v>1381</v>
      </c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109" t="s">
        <v>1123</v>
      </c>
      <c r="P147" s="23"/>
    </row>
    <row r="148" customFormat="false" ht="34.5" hidden="false" customHeight="true" outlineLevel="0" collapsed="false">
      <c r="A148" s="47" t="s">
        <v>1382</v>
      </c>
      <c r="B148" s="118" t="s">
        <v>554</v>
      </c>
      <c r="C148" s="32" t="s">
        <v>533</v>
      </c>
      <c r="D148" s="32" t="s">
        <v>1383</v>
      </c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109" t="s">
        <v>1123</v>
      </c>
      <c r="P148" s="32"/>
    </row>
    <row r="149" customFormat="false" ht="34.5" hidden="false" customHeight="true" outlineLevel="0" collapsed="false">
      <c r="A149" s="45" t="s">
        <v>1384</v>
      </c>
      <c r="B149" s="119" t="s">
        <v>557</v>
      </c>
      <c r="C149" s="23" t="s">
        <v>533</v>
      </c>
      <c r="D149" s="23" t="s">
        <v>1385</v>
      </c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109" t="s">
        <v>1123</v>
      </c>
      <c r="P149" s="23"/>
    </row>
    <row r="150" customFormat="false" ht="34.5" hidden="false" customHeight="true" outlineLevel="0" collapsed="false">
      <c r="A150" s="47" t="s">
        <v>1386</v>
      </c>
      <c r="B150" s="118" t="s">
        <v>560</v>
      </c>
      <c r="C150" s="32" t="s">
        <v>533</v>
      </c>
      <c r="D150" s="32" t="s">
        <v>561</v>
      </c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109" t="s">
        <v>1123</v>
      </c>
      <c r="P150" s="32"/>
    </row>
    <row r="151" customFormat="false" ht="34.5" hidden="false" customHeight="true" outlineLevel="0" collapsed="false">
      <c r="A151" s="45" t="s">
        <v>1387</v>
      </c>
      <c r="B151" s="119" t="s">
        <v>564</v>
      </c>
      <c r="C151" s="23" t="s">
        <v>533</v>
      </c>
      <c r="D151" s="23" t="s">
        <v>565</v>
      </c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109" t="s">
        <v>1123</v>
      </c>
      <c r="P151" s="23"/>
    </row>
    <row r="152" customFormat="false" ht="34.5" hidden="false" customHeight="true" outlineLevel="0" collapsed="false">
      <c r="A152" s="47" t="s">
        <v>1388</v>
      </c>
      <c r="B152" s="118" t="s">
        <v>567</v>
      </c>
      <c r="C152" s="32" t="s">
        <v>533</v>
      </c>
      <c r="D152" s="32" t="s">
        <v>1389</v>
      </c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109" t="s">
        <v>1123</v>
      </c>
      <c r="P152" s="32"/>
    </row>
    <row r="153" customFormat="false" ht="34.5" hidden="false" customHeight="true" outlineLevel="0" collapsed="false">
      <c r="A153" s="45" t="s">
        <v>1390</v>
      </c>
      <c r="B153" s="119" t="s">
        <v>570</v>
      </c>
      <c r="C153" s="23" t="s">
        <v>533</v>
      </c>
      <c r="D153" s="23" t="s">
        <v>1391</v>
      </c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109" t="s">
        <v>1123</v>
      </c>
      <c r="P153" s="23"/>
    </row>
    <row r="154" customFormat="false" ht="34.5" hidden="false" customHeight="true" outlineLevel="0" collapsed="false">
      <c r="A154" s="47" t="s">
        <v>1392</v>
      </c>
      <c r="B154" s="118" t="s">
        <v>573</v>
      </c>
      <c r="C154" s="32" t="s">
        <v>533</v>
      </c>
      <c r="D154" s="32" t="s">
        <v>574</v>
      </c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109" t="s">
        <v>1123</v>
      </c>
      <c r="P154" s="32"/>
    </row>
    <row r="155" customFormat="false" ht="34.5" hidden="false" customHeight="true" outlineLevel="0" collapsed="false">
      <c r="A155" s="45" t="s">
        <v>1393</v>
      </c>
      <c r="B155" s="119" t="s">
        <v>576</v>
      </c>
      <c r="C155" s="23" t="s">
        <v>533</v>
      </c>
      <c r="D155" s="23" t="s">
        <v>1394</v>
      </c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109" t="s">
        <v>1123</v>
      </c>
      <c r="P155" s="23"/>
    </row>
    <row r="156" customFormat="false" ht="34.5" hidden="false" customHeight="true" outlineLevel="0" collapsed="false">
      <c r="A156" s="47" t="s">
        <v>1395</v>
      </c>
      <c r="B156" s="118" t="s">
        <v>579</v>
      </c>
      <c r="C156" s="32" t="s">
        <v>533</v>
      </c>
      <c r="D156" s="32" t="s">
        <v>1396</v>
      </c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109" t="s">
        <v>1123</v>
      </c>
      <c r="P156" s="32"/>
    </row>
    <row r="157" customFormat="false" ht="34.5" hidden="false" customHeight="true" outlineLevel="0" collapsed="false">
      <c r="A157" s="45" t="s">
        <v>1397</v>
      </c>
      <c r="B157" s="119" t="s">
        <v>582</v>
      </c>
      <c r="C157" s="23" t="s">
        <v>533</v>
      </c>
      <c r="D157" s="23" t="s">
        <v>583</v>
      </c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109" t="s">
        <v>1123</v>
      </c>
      <c r="P157" s="23"/>
    </row>
    <row r="158" customFormat="false" ht="34.5" hidden="false" customHeight="true" outlineLevel="0" collapsed="false">
      <c r="A158" s="47" t="s">
        <v>1398</v>
      </c>
      <c r="B158" s="118" t="s">
        <v>585</v>
      </c>
      <c r="C158" s="32" t="s">
        <v>533</v>
      </c>
      <c r="D158" s="32" t="s">
        <v>1399</v>
      </c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109" t="s">
        <v>1123</v>
      </c>
      <c r="P158" s="32"/>
    </row>
    <row r="159" customFormat="false" ht="34.5" hidden="false" customHeight="true" outlineLevel="0" collapsed="false">
      <c r="A159" s="45" t="s">
        <v>1400</v>
      </c>
      <c r="B159" s="119" t="s">
        <v>588</v>
      </c>
      <c r="C159" s="23" t="s">
        <v>533</v>
      </c>
      <c r="D159" s="23" t="s">
        <v>1401</v>
      </c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109" t="s">
        <v>1123</v>
      </c>
      <c r="P159" s="23"/>
    </row>
    <row r="160" customFormat="false" ht="34.5" hidden="false" customHeight="true" outlineLevel="0" collapsed="false">
      <c r="A160" s="47" t="s">
        <v>1402</v>
      </c>
      <c r="B160" s="118" t="s">
        <v>592</v>
      </c>
      <c r="C160" s="32" t="s">
        <v>533</v>
      </c>
      <c r="D160" s="32" t="s">
        <v>1403</v>
      </c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109" t="s">
        <v>1123</v>
      </c>
      <c r="P160" s="32"/>
    </row>
    <row r="161" customFormat="false" ht="34.5" hidden="false" customHeight="true" outlineLevel="0" collapsed="false">
      <c r="A161" s="45" t="s">
        <v>1404</v>
      </c>
      <c r="B161" s="119" t="s">
        <v>595</v>
      </c>
      <c r="C161" s="23" t="s">
        <v>533</v>
      </c>
      <c r="D161" s="23" t="s">
        <v>1405</v>
      </c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109" t="s">
        <v>1123</v>
      </c>
      <c r="P161" s="23"/>
    </row>
    <row r="162" customFormat="false" ht="34.5" hidden="false" customHeight="true" outlineLevel="0" collapsed="false">
      <c r="A162" s="47" t="s">
        <v>1406</v>
      </c>
      <c r="B162" s="118" t="s">
        <v>598</v>
      </c>
      <c r="C162" s="32" t="s">
        <v>533</v>
      </c>
      <c r="D162" s="32" t="s">
        <v>1407</v>
      </c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109" t="s">
        <v>1123</v>
      </c>
      <c r="P162" s="32"/>
    </row>
    <row r="163" customFormat="false" ht="34.5" hidden="false" customHeight="true" outlineLevel="0" collapsed="false">
      <c r="A163" s="45" t="s">
        <v>1408</v>
      </c>
      <c r="B163" s="119" t="s">
        <v>601</v>
      </c>
      <c r="C163" s="23" t="s">
        <v>533</v>
      </c>
      <c r="D163" s="23" t="s">
        <v>1409</v>
      </c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109" t="s">
        <v>1123</v>
      </c>
      <c r="P163" s="23"/>
    </row>
    <row r="164" customFormat="false" ht="34.5" hidden="false" customHeight="true" outlineLevel="0" collapsed="false">
      <c r="A164" s="47" t="s">
        <v>1410</v>
      </c>
      <c r="B164" s="118" t="s">
        <v>605</v>
      </c>
      <c r="C164" s="32" t="s">
        <v>533</v>
      </c>
      <c r="D164" s="32" t="s">
        <v>1411</v>
      </c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109" t="s">
        <v>1123</v>
      </c>
      <c r="P164" s="32"/>
    </row>
    <row r="165" customFormat="false" ht="34.5" hidden="false" customHeight="true" outlineLevel="0" collapsed="false">
      <c r="A165" s="45" t="s">
        <v>1412</v>
      </c>
      <c r="B165" s="119" t="s">
        <v>608</v>
      </c>
      <c r="C165" s="23" t="s">
        <v>533</v>
      </c>
      <c r="D165" s="23" t="s">
        <v>1413</v>
      </c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109" t="s">
        <v>1123</v>
      </c>
      <c r="P165" s="23"/>
    </row>
    <row r="166" customFormat="false" ht="34.5" hidden="false" customHeight="true" outlineLevel="0" collapsed="false">
      <c r="A166" s="47" t="s">
        <v>1414</v>
      </c>
      <c r="B166" s="118" t="s">
        <v>611</v>
      </c>
      <c r="C166" s="32" t="s">
        <v>533</v>
      </c>
      <c r="D166" s="32" t="s">
        <v>1415</v>
      </c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109" t="s">
        <v>1123</v>
      </c>
      <c r="P166" s="32"/>
    </row>
    <row r="167" customFormat="false" ht="34.5" hidden="false" customHeight="true" outlineLevel="0" collapsed="false">
      <c r="A167" s="45" t="s">
        <v>1416</v>
      </c>
      <c r="B167" s="119" t="s">
        <v>614</v>
      </c>
      <c r="C167" s="23" t="s">
        <v>533</v>
      </c>
      <c r="D167" s="23" t="s">
        <v>615</v>
      </c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109" t="s">
        <v>1123</v>
      </c>
      <c r="P167" s="23"/>
    </row>
    <row r="168" customFormat="false" ht="34.5" hidden="false" customHeight="true" outlineLevel="0" collapsed="false">
      <c r="A168" s="47" t="s">
        <v>1417</v>
      </c>
      <c r="B168" s="118" t="s">
        <v>617</v>
      </c>
      <c r="C168" s="32" t="s">
        <v>533</v>
      </c>
      <c r="D168" s="32" t="s">
        <v>1418</v>
      </c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109" t="s">
        <v>1123</v>
      </c>
      <c r="P168" s="32"/>
    </row>
    <row r="169" customFormat="false" ht="34.5" hidden="false" customHeight="true" outlineLevel="0" collapsed="false">
      <c r="A169" s="45" t="s">
        <v>1419</v>
      </c>
      <c r="B169" s="119" t="s">
        <v>620</v>
      </c>
      <c r="C169" s="23" t="s">
        <v>533</v>
      </c>
      <c r="D169" s="23" t="s">
        <v>1420</v>
      </c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109" t="s">
        <v>1123</v>
      </c>
      <c r="P169" s="23"/>
    </row>
    <row r="170" customFormat="false" ht="34.5" hidden="false" customHeight="true" outlineLevel="0" collapsed="false">
      <c r="A170" s="47" t="s">
        <v>1421</v>
      </c>
      <c r="B170" s="118" t="s">
        <v>623</v>
      </c>
      <c r="C170" s="32" t="s">
        <v>533</v>
      </c>
      <c r="D170" s="32" t="s">
        <v>1422</v>
      </c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109" t="s">
        <v>1123</v>
      </c>
      <c r="P170" s="32"/>
    </row>
    <row r="171" customFormat="false" ht="34.5" hidden="false" customHeight="true" outlineLevel="0" collapsed="false">
      <c r="A171" s="45" t="s">
        <v>1423</v>
      </c>
      <c r="B171" s="119" t="s">
        <v>626</v>
      </c>
      <c r="C171" s="23" t="s">
        <v>533</v>
      </c>
      <c r="D171" s="23" t="s">
        <v>627</v>
      </c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109" t="s">
        <v>1123</v>
      </c>
      <c r="P171" s="23"/>
    </row>
    <row r="172" customFormat="false" ht="34.5" hidden="false" customHeight="true" outlineLevel="0" collapsed="false">
      <c r="A172" s="47" t="s">
        <v>1424</v>
      </c>
      <c r="B172" s="118" t="s">
        <v>629</v>
      </c>
      <c r="C172" s="32" t="s">
        <v>533</v>
      </c>
      <c r="D172" s="32" t="s">
        <v>1425</v>
      </c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109" t="s">
        <v>1123</v>
      </c>
      <c r="P172" s="32"/>
    </row>
    <row r="173" customFormat="false" ht="34.5" hidden="false" customHeight="true" outlineLevel="0" collapsed="false">
      <c r="A173" s="45" t="s">
        <v>1426</v>
      </c>
      <c r="B173" s="119" t="s">
        <v>632</v>
      </c>
      <c r="C173" s="23" t="s">
        <v>533</v>
      </c>
      <c r="D173" s="23" t="s">
        <v>1427</v>
      </c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109" t="s">
        <v>1123</v>
      </c>
      <c r="P173" s="23"/>
    </row>
    <row r="174" customFormat="false" ht="34.5" hidden="false" customHeight="true" outlineLevel="0" collapsed="false">
      <c r="A174" s="47" t="s">
        <v>1428</v>
      </c>
      <c r="B174" s="118" t="s">
        <v>635</v>
      </c>
      <c r="C174" s="32" t="s">
        <v>533</v>
      </c>
      <c r="D174" s="32" t="s">
        <v>1429</v>
      </c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109" t="s">
        <v>1123</v>
      </c>
      <c r="P174" s="32"/>
    </row>
    <row r="175" customFormat="false" ht="34.5" hidden="false" customHeight="true" outlineLevel="0" collapsed="false">
      <c r="A175" s="45" t="s">
        <v>1430</v>
      </c>
      <c r="B175" s="119" t="s">
        <v>638</v>
      </c>
      <c r="C175" s="23" t="s">
        <v>533</v>
      </c>
      <c r="D175" s="23" t="s">
        <v>1431</v>
      </c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109" t="s">
        <v>1123</v>
      </c>
      <c r="P175" s="23"/>
    </row>
    <row r="176" customFormat="false" ht="34.5" hidden="false" customHeight="true" outlineLevel="0" collapsed="false">
      <c r="A176" s="47" t="s">
        <v>1432</v>
      </c>
      <c r="B176" s="118" t="s">
        <v>641</v>
      </c>
      <c r="C176" s="32" t="s">
        <v>533</v>
      </c>
      <c r="D176" s="32" t="s">
        <v>1433</v>
      </c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109" t="s">
        <v>1123</v>
      </c>
      <c r="P176" s="32"/>
    </row>
    <row r="177" customFormat="false" ht="34.5" hidden="false" customHeight="true" outlineLevel="0" collapsed="false">
      <c r="A177" s="45" t="s">
        <v>1434</v>
      </c>
      <c r="B177" s="120" t="s">
        <v>645</v>
      </c>
      <c r="C177" s="23" t="s">
        <v>644</v>
      </c>
      <c r="D177" s="23" t="s">
        <v>1435</v>
      </c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109" t="s">
        <v>1123</v>
      </c>
      <c r="P177" s="23"/>
    </row>
    <row r="178" customFormat="false" ht="34.5" hidden="false" customHeight="true" outlineLevel="0" collapsed="false">
      <c r="A178" s="47" t="s">
        <v>1436</v>
      </c>
      <c r="B178" s="121" t="s">
        <v>649</v>
      </c>
      <c r="C178" s="32" t="s">
        <v>644</v>
      </c>
      <c r="D178" s="32" t="s">
        <v>1437</v>
      </c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109" t="s">
        <v>1123</v>
      </c>
      <c r="P178" s="32"/>
    </row>
    <row r="179" customFormat="false" ht="34.5" hidden="false" customHeight="true" outlineLevel="0" collapsed="false">
      <c r="A179" s="45" t="s">
        <v>1438</v>
      </c>
      <c r="B179" s="120" t="s">
        <v>652</v>
      </c>
      <c r="C179" s="23" t="s">
        <v>644</v>
      </c>
      <c r="D179" s="23" t="s">
        <v>1439</v>
      </c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109" t="s">
        <v>1123</v>
      </c>
      <c r="P179" s="23"/>
    </row>
    <row r="180" customFormat="false" ht="34.5" hidden="false" customHeight="true" outlineLevel="0" collapsed="false">
      <c r="A180" s="47" t="s">
        <v>1440</v>
      </c>
      <c r="B180" s="121" t="s">
        <v>655</v>
      </c>
      <c r="C180" s="32" t="s">
        <v>644</v>
      </c>
      <c r="D180" s="32" t="s">
        <v>656</v>
      </c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109" t="s">
        <v>1123</v>
      </c>
      <c r="P180" s="32"/>
    </row>
    <row r="181" customFormat="false" ht="34.5" hidden="false" customHeight="true" outlineLevel="0" collapsed="false">
      <c r="A181" s="45" t="s">
        <v>1441</v>
      </c>
      <c r="B181" s="120" t="s">
        <v>658</v>
      </c>
      <c r="C181" s="23" t="s">
        <v>644</v>
      </c>
      <c r="D181" s="23" t="s">
        <v>1442</v>
      </c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109" t="s">
        <v>1123</v>
      </c>
      <c r="P181" s="23"/>
    </row>
    <row r="182" customFormat="false" ht="34.5" hidden="false" customHeight="true" outlineLevel="0" collapsed="false">
      <c r="A182" s="47" t="s">
        <v>1443</v>
      </c>
      <c r="B182" s="121" t="s">
        <v>661</v>
      </c>
      <c r="C182" s="32" t="s">
        <v>644</v>
      </c>
      <c r="D182" s="32" t="s">
        <v>1444</v>
      </c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109" t="s">
        <v>1123</v>
      </c>
      <c r="P182" s="32"/>
    </row>
    <row r="183" customFormat="false" ht="34.5" hidden="false" customHeight="true" outlineLevel="0" collapsed="false">
      <c r="A183" s="45" t="s">
        <v>1445</v>
      </c>
      <c r="B183" s="120" t="s">
        <v>664</v>
      </c>
      <c r="C183" s="23" t="s">
        <v>644</v>
      </c>
      <c r="D183" s="23" t="s">
        <v>1446</v>
      </c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109" t="s">
        <v>1123</v>
      </c>
      <c r="P183" s="23"/>
    </row>
    <row r="184" customFormat="false" ht="34.5" hidden="false" customHeight="true" outlineLevel="0" collapsed="false">
      <c r="A184" s="47" t="s">
        <v>1447</v>
      </c>
      <c r="B184" s="121" t="s">
        <v>667</v>
      </c>
      <c r="C184" s="32" t="s">
        <v>644</v>
      </c>
      <c r="D184" s="32" t="s">
        <v>1448</v>
      </c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109" t="s">
        <v>1123</v>
      </c>
      <c r="P184" s="32"/>
    </row>
    <row r="185" customFormat="false" ht="34.5" hidden="false" customHeight="true" outlineLevel="0" collapsed="false">
      <c r="A185" s="45" t="s">
        <v>1449</v>
      </c>
      <c r="B185" s="120" t="s">
        <v>670</v>
      </c>
      <c r="C185" s="23" t="s">
        <v>644</v>
      </c>
      <c r="D185" s="23" t="s">
        <v>671</v>
      </c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109" t="s">
        <v>1123</v>
      </c>
      <c r="P185" s="23"/>
    </row>
    <row r="186" customFormat="false" ht="34.5" hidden="false" customHeight="true" outlineLevel="0" collapsed="false">
      <c r="A186" s="47" t="s">
        <v>1450</v>
      </c>
      <c r="B186" s="121" t="s">
        <v>673</v>
      </c>
      <c r="C186" s="32" t="s">
        <v>644</v>
      </c>
      <c r="D186" s="32" t="s">
        <v>674</v>
      </c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109" t="s">
        <v>1123</v>
      </c>
      <c r="P186" s="32"/>
    </row>
    <row r="187" customFormat="false" ht="34.5" hidden="false" customHeight="true" outlineLevel="0" collapsed="false">
      <c r="A187" s="45" t="s">
        <v>1451</v>
      </c>
      <c r="B187" s="120" t="s">
        <v>676</v>
      </c>
      <c r="C187" s="23" t="s">
        <v>644</v>
      </c>
      <c r="D187" s="23" t="s">
        <v>1452</v>
      </c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109" t="s">
        <v>1123</v>
      </c>
      <c r="P187" s="23"/>
    </row>
    <row r="188" customFormat="false" ht="34.5" hidden="false" customHeight="true" outlineLevel="0" collapsed="false">
      <c r="A188" s="47" t="s">
        <v>1453</v>
      </c>
      <c r="B188" s="121" t="s">
        <v>679</v>
      </c>
      <c r="C188" s="32" t="s">
        <v>644</v>
      </c>
      <c r="D188" s="32" t="s">
        <v>1454</v>
      </c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109" t="s">
        <v>1123</v>
      </c>
      <c r="P188" s="32"/>
    </row>
    <row r="189" customFormat="false" ht="34.5" hidden="false" customHeight="true" outlineLevel="0" collapsed="false">
      <c r="A189" s="45" t="s">
        <v>1455</v>
      </c>
      <c r="B189" s="120" t="s">
        <v>682</v>
      </c>
      <c r="C189" s="23" t="s">
        <v>644</v>
      </c>
      <c r="D189" s="23" t="s">
        <v>1456</v>
      </c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109" t="s">
        <v>1123</v>
      </c>
      <c r="P189" s="23"/>
    </row>
    <row r="190" customFormat="false" ht="34.5" hidden="false" customHeight="true" outlineLevel="0" collapsed="false">
      <c r="A190" s="47" t="s">
        <v>1457</v>
      </c>
      <c r="B190" s="121" t="s">
        <v>685</v>
      </c>
      <c r="C190" s="32" t="s">
        <v>644</v>
      </c>
      <c r="D190" s="32" t="s">
        <v>1458</v>
      </c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109" t="s">
        <v>1123</v>
      </c>
      <c r="P190" s="32"/>
    </row>
    <row r="191" customFormat="false" ht="34.5" hidden="false" customHeight="true" outlineLevel="0" collapsed="false">
      <c r="A191" s="45" t="s">
        <v>1459</v>
      </c>
      <c r="B191" s="120" t="s">
        <v>689</v>
      </c>
      <c r="C191" s="23" t="s">
        <v>644</v>
      </c>
      <c r="D191" s="23" t="s">
        <v>1460</v>
      </c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109" t="s">
        <v>1123</v>
      </c>
      <c r="P191" s="23"/>
    </row>
    <row r="192" customFormat="false" ht="34.5" hidden="false" customHeight="true" outlineLevel="0" collapsed="false">
      <c r="A192" s="47" t="s">
        <v>1461</v>
      </c>
      <c r="B192" s="121" t="s">
        <v>692</v>
      </c>
      <c r="C192" s="32" t="s">
        <v>644</v>
      </c>
      <c r="D192" s="32" t="s">
        <v>1462</v>
      </c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109" t="s">
        <v>1123</v>
      </c>
      <c r="P192" s="32"/>
    </row>
    <row r="193" customFormat="false" ht="34.5" hidden="false" customHeight="true" outlineLevel="0" collapsed="false">
      <c r="A193" s="45" t="s">
        <v>1463</v>
      </c>
      <c r="B193" s="120" t="s">
        <v>695</v>
      </c>
      <c r="C193" s="23" t="s">
        <v>644</v>
      </c>
      <c r="D193" s="23" t="s">
        <v>696</v>
      </c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109" t="s">
        <v>1123</v>
      </c>
      <c r="P193" s="23"/>
    </row>
    <row r="194" customFormat="false" ht="34.5" hidden="false" customHeight="true" outlineLevel="0" collapsed="false">
      <c r="A194" s="47" t="s">
        <v>1464</v>
      </c>
      <c r="B194" s="121" t="s">
        <v>698</v>
      </c>
      <c r="C194" s="32" t="s">
        <v>644</v>
      </c>
      <c r="D194" s="32" t="s">
        <v>699</v>
      </c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109" t="s">
        <v>1123</v>
      </c>
      <c r="P194" s="32"/>
    </row>
    <row r="195" customFormat="false" ht="34.5" hidden="false" customHeight="true" outlineLevel="0" collapsed="false">
      <c r="A195" s="45" t="s">
        <v>1465</v>
      </c>
      <c r="B195" s="120" t="s">
        <v>701</v>
      </c>
      <c r="C195" s="23" t="s">
        <v>644</v>
      </c>
      <c r="D195" s="23" t="s">
        <v>1466</v>
      </c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109" t="s">
        <v>1123</v>
      </c>
      <c r="P195" s="23"/>
    </row>
    <row r="196" customFormat="false" ht="34.5" hidden="false" customHeight="true" outlineLevel="0" collapsed="false">
      <c r="A196" s="47" t="s">
        <v>1467</v>
      </c>
      <c r="B196" s="121" t="s">
        <v>704</v>
      </c>
      <c r="C196" s="32" t="s">
        <v>644</v>
      </c>
      <c r="D196" s="32" t="s">
        <v>1468</v>
      </c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109" t="s">
        <v>1123</v>
      </c>
      <c r="P196" s="32"/>
    </row>
    <row r="197" customFormat="false" ht="34.5" hidden="false" customHeight="true" outlineLevel="0" collapsed="false">
      <c r="A197" s="45" t="s">
        <v>1469</v>
      </c>
      <c r="B197" s="120" t="s">
        <v>707</v>
      </c>
      <c r="C197" s="23" t="s">
        <v>644</v>
      </c>
      <c r="D197" s="23" t="s">
        <v>1470</v>
      </c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109" t="s">
        <v>1123</v>
      </c>
      <c r="P197" s="23"/>
    </row>
    <row r="198" customFormat="false" ht="34.5" hidden="false" customHeight="true" outlineLevel="0" collapsed="false">
      <c r="A198" s="47" t="s">
        <v>1471</v>
      </c>
      <c r="B198" s="121" t="s">
        <v>711</v>
      </c>
      <c r="C198" s="32" t="s">
        <v>644</v>
      </c>
      <c r="D198" s="32" t="s">
        <v>1472</v>
      </c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109" t="s">
        <v>1123</v>
      </c>
      <c r="P198" s="32"/>
    </row>
    <row r="199" customFormat="false" ht="34.5" hidden="false" customHeight="true" outlineLevel="0" collapsed="false">
      <c r="A199" s="45" t="s">
        <v>1473</v>
      </c>
      <c r="B199" s="120" t="s">
        <v>715</v>
      </c>
      <c r="C199" s="23" t="s">
        <v>644</v>
      </c>
      <c r="D199" s="23" t="s">
        <v>716</v>
      </c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109" t="s">
        <v>1123</v>
      </c>
      <c r="P199" s="23"/>
    </row>
    <row r="200" customFormat="false" ht="34.5" hidden="false" customHeight="true" outlineLevel="0" collapsed="false">
      <c r="A200" s="47" t="s">
        <v>1474</v>
      </c>
      <c r="B200" s="121" t="s">
        <v>718</v>
      </c>
      <c r="C200" s="32" t="s">
        <v>644</v>
      </c>
      <c r="D200" s="32" t="s">
        <v>1475</v>
      </c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109" t="s">
        <v>1123</v>
      </c>
      <c r="P200" s="32"/>
    </row>
    <row r="201" customFormat="false" ht="34.5" hidden="false" customHeight="true" outlineLevel="0" collapsed="false">
      <c r="A201" s="45" t="s">
        <v>1476</v>
      </c>
      <c r="B201" s="120" t="s">
        <v>721</v>
      </c>
      <c r="C201" s="23" t="s">
        <v>644</v>
      </c>
      <c r="D201" s="23" t="s">
        <v>1477</v>
      </c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109" t="s">
        <v>1123</v>
      </c>
      <c r="P201" s="23"/>
    </row>
    <row r="202" customFormat="false" ht="34.5" hidden="false" customHeight="true" outlineLevel="0" collapsed="false">
      <c r="A202" s="47" t="s">
        <v>1478</v>
      </c>
      <c r="B202" s="121" t="s">
        <v>725</v>
      </c>
      <c r="C202" s="32" t="s">
        <v>644</v>
      </c>
      <c r="D202" s="32" t="s">
        <v>1479</v>
      </c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109" t="s">
        <v>1123</v>
      </c>
      <c r="P202" s="32"/>
    </row>
    <row r="203" customFormat="false" ht="34.5" hidden="false" customHeight="true" outlineLevel="0" collapsed="false">
      <c r="A203" s="45" t="s">
        <v>1480</v>
      </c>
      <c r="B203" s="120" t="s">
        <v>728</v>
      </c>
      <c r="C203" s="23" t="s">
        <v>644</v>
      </c>
      <c r="D203" s="23" t="s">
        <v>1481</v>
      </c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109" t="s">
        <v>1123</v>
      </c>
      <c r="P203" s="23"/>
    </row>
    <row r="204" customFormat="false" ht="34.5" hidden="false" customHeight="true" outlineLevel="0" collapsed="false">
      <c r="A204" s="47" t="s">
        <v>1482</v>
      </c>
      <c r="B204" s="121" t="s">
        <v>731</v>
      </c>
      <c r="C204" s="32" t="s">
        <v>644</v>
      </c>
      <c r="D204" s="32" t="s">
        <v>1483</v>
      </c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109" t="s">
        <v>1123</v>
      </c>
      <c r="P204" s="32"/>
    </row>
    <row r="205" customFormat="false" ht="34.5" hidden="false" customHeight="true" outlineLevel="0" collapsed="false">
      <c r="A205" s="45" t="s">
        <v>1484</v>
      </c>
      <c r="B205" s="120" t="s">
        <v>734</v>
      </c>
      <c r="C205" s="23" t="s">
        <v>644</v>
      </c>
      <c r="D205" s="23" t="s">
        <v>1485</v>
      </c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109" t="s">
        <v>1123</v>
      </c>
      <c r="P205" s="23"/>
    </row>
    <row r="206" customFormat="false" ht="34.5" hidden="false" customHeight="true" outlineLevel="0" collapsed="false">
      <c r="A206" s="47" t="s">
        <v>1486</v>
      </c>
      <c r="B206" s="121" t="s">
        <v>737</v>
      </c>
      <c r="C206" s="32" t="s">
        <v>644</v>
      </c>
      <c r="D206" s="32" t="s">
        <v>1487</v>
      </c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109" t="s">
        <v>1123</v>
      </c>
      <c r="P206" s="32"/>
    </row>
    <row r="207" customFormat="false" ht="34.5" hidden="false" customHeight="true" outlineLevel="0" collapsed="false">
      <c r="A207" s="45" t="s">
        <v>1488</v>
      </c>
      <c r="B207" s="120" t="s">
        <v>740</v>
      </c>
      <c r="C207" s="23" t="s">
        <v>644</v>
      </c>
      <c r="D207" s="23" t="s">
        <v>1489</v>
      </c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109" t="s">
        <v>1123</v>
      </c>
      <c r="P207" s="23"/>
    </row>
    <row r="208" customFormat="false" ht="34.5" hidden="false" customHeight="true" outlineLevel="0" collapsed="false">
      <c r="A208" s="47" t="s">
        <v>1490</v>
      </c>
      <c r="B208" s="121" t="s">
        <v>743</v>
      </c>
      <c r="C208" s="32" t="s">
        <v>644</v>
      </c>
      <c r="D208" s="32" t="s">
        <v>1491</v>
      </c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109" t="s">
        <v>1123</v>
      </c>
      <c r="P208" s="32"/>
    </row>
    <row r="209" customFormat="false" ht="34.5" hidden="false" customHeight="true" outlineLevel="0" collapsed="false">
      <c r="A209" s="45" t="s">
        <v>1492</v>
      </c>
      <c r="B209" s="122" t="s">
        <v>747</v>
      </c>
      <c r="C209" s="23" t="s">
        <v>746</v>
      </c>
      <c r="D209" s="23" t="s">
        <v>1493</v>
      </c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109" t="s">
        <v>1123</v>
      </c>
      <c r="P209" s="23"/>
    </row>
    <row r="210" customFormat="false" ht="34.5" hidden="false" customHeight="true" outlineLevel="0" collapsed="false">
      <c r="A210" s="47" t="s">
        <v>1494</v>
      </c>
      <c r="B210" s="123" t="s">
        <v>751</v>
      </c>
      <c r="C210" s="32" t="s">
        <v>746</v>
      </c>
      <c r="D210" s="32" t="s">
        <v>1495</v>
      </c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109" t="s">
        <v>1123</v>
      </c>
      <c r="P210" s="32"/>
    </row>
    <row r="211" customFormat="false" ht="34.5" hidden="false" customHeight="true" outlineLevel="0" collapsed="false">
      <c r="A211" s="45" t="s">
        <v>1496</v>
      </c>
      <c r="B211" s="122" t="s">
        <v>754</v>
      </c>
      <c r="C211" s="23" t="s">
        <v>746</v>
      </c>
      <c r="D211" s="23" t="s">
        <v>1497</v>
      </c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109" t="s">
        <v>1123</v>
      </c>
      <c r="P211" s="23"/>
    </row>
    <row r="212" customFormat="false" ht="34.5" hidden="false" customHeight="true" outlineLevel="0" collapsed="false">
      <c r="A212" s="47" t="s">
        <v>1498</v>
      </c>
      <c r="B212" s="123" t="s">
        <v>757</v>
      </c>
      <c r="C212" s="32" t="s">
        <v>746</v>
      </c>
      <c r="D212" s="32" t="s">
        <v>1499</v>
      </c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109" t="s">
        <v>1123</v>
      </c>
      <c r="P212" s="32"/>
    </row>
    <row r="213" customFormat="false" ht="34.5" hidden="false" customHeight="true" outlineLevel="0" collapsed="false">
      <c r="A213" s="45" t="s">
        <v>1500</v>
      </c>
      <c r="B213" s="122" t="s">
        <v>760</v>
      </c>
      <c r="C213" s="23" t="s">
        <v>746</v>
      </c>
      <c r="D213" s="23" t="s">
        <v>761</v>
      </c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109" t="s">
        <v>1123</v>
      </c>
      <c r="P213" s="23"/>
    </row>
    <row r="214" customFormat="false" ht="34.5" hidden="false" customHeight="true" outlineLevel="0" collapsed="false">
      <c r="A214" s="47" t="s">
        <v>1501</v>
      </c>
      <c r="B214" s="123" t="s">
        <v>763</v>
      </c>
      <c r="C214" s="32" t="s">
        <v>746</v>
      </c>
      <c r="D214" s="32" t="s">
        <v>764</v>
      </c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109" t="s">
        <v>1123</v>
      </c>
      <c r="P214" s="32"/>
    </row>
    <row r="215" customFormat="false" ht="34.5" hidden="false" customHeight="true" outlineLevel="0" collapsed="false">
      <c r="A215" s="45" t="s">
        <v>1502</v>
      </c>
      <c r="B215" s="122" t="s">
        <v>766</v>
      </c>
      <c r="C215" s="23" t="s">
        <v>746</v>
      </c>
      <c r="D215" s="23" t="s">
        <v>1503</v>
      </c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109" t="s">
        <v>1123</v>
      </c>
      <c r="P215" s="23"/>
    </row>
    <row r="216" customFormat="false" ht="34.5" hidden="false" customHeight="true" outlineLevel="0" collapsed="false">
      <c r="A216" s="47" t="s">
        <v>1504</v>
      </c>
      <c r="B216" s="123" t="s">
        <v>769</v>
      </c>
      <c r="C216" s="32" t="s">
        <v>746</v>
      </c>
      <c r="D216" s="32" t="s">
        <v>770</v>
      </c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109" t="s">
        <v>1123</v>
      </c>
      <c r="P216" s="32"/>
    </row>
    <row r="217" customFormat="false" ht="34.5" hidden="false" customHeight="true" outlineLevel="0" collapsed="false">
      <c r="A217" s="45" t="s">
        <v>1505</v>
      </c>
      <c r="B217" s="122" t="s">
        <v>772</v>
      </c>
      <c r="C217" s="23" t="s">
        <v>746</v>
      </c>
      <c r="D217" s="23" t="s">
        <v>773</v>
      </c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109" t="s">
        <v>1123</v>
      </c>
      <c r="P217" s="23"/>
    </row>
    <row r="218" customFormat="false" ht="34.5" hidden="false" customHeight="true" outlineLevel="0" collapsed="false">
      <c r="A218" s="47" t="s">
        <v>1506</v>
      </c>
      <c r="B218" s="123" t="s">
        <v>775</v>
      </c>
      <c r="C218" s="32" t="s">
        <v>746</v>
      </c>
      <c r="D218" s="32" t="s">
        <v>1507</v>
      </c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109" t="s">
        <v>1123</v>
      </c>
      <c r="P218" s="32"/>
    </row>
    <row r="219" customFormat="false" ht="34.5" hidden="false" customHeight="true" outlineLevel="0" collapsed="false">
      <c r="A219" s="45" t="s">
        <v>1508</v>
      </c>
      <c r="B219" s="122" t="s">
        <v>778</v>
      </c>
      <c r="C219" s="23" t="s">
        <v>746</v>
      </c>
      <c r="D219" s="23" t="s">
        <v>1509</v>
      </c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109" t="s">
        <v>1123</v>
      </c>
      <c r="P219" s="23"/>
    </row>
    <row r="220" customFormat="false" ht="34.5" hidden="false" customHeight="true" outlineLevel="0" collapsed="false">
      <c r="A220" s="47" t="s">
        <v>1510</v>
      </c>
      <c r="B220" s="123" t="s">
        <v>781</v>
      </c>
      <c r="C220" s="32" t="s">
        <v>746</v>
      </c>
      <c r="D220" s="32" t="s">
        <v>782</v>
      </c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109" t="s">
        <v>1123</v>
      </c>
      <c r="P220" s="32"/>
    </row>
    <row r="221" customFormat="false" ht="34.5" hidden="false" customHeight="true" outlineLevel="0" collapsed="false">
      <c r="A221" s="45" t="s">
        <v>1511</v>
      </c>
      <c r="B221" s="122" t="s">
        <v>784</v>
      </c>
      <c r="C221" s="23" t="s">
        <v>746</v>
      </c>
      <c r="D221" s="23" t="s">
        <v>1512</v>
      </c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109" t="s">
        <v>1123</v>
      </c>
      <c r="P221" s="23"/>
    </row>
    <row r="222" customFormat="false" ht="34.5" hidden="false" customHeight="true" outlineLevel="0" collapsed="false">
      <c r="A222" s="47" t="s">
        <v>1513</v>
      </c>
      <c r="B222" s="123" t="s">
        <v>787</v>
      </c>
      <c r="C222" s="32" t="s">
        <v>746</v>
      </c>
      <c r="D222" s="32" t="s">
        <v>788</v>
      </c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109" t="s">
        <v>1123</v>
      </c>
      <c r="P222" s="32"/>
    </row>
    <row r="223" customFormat="false" ht="34.5" hidden="false" customHeight="true" outlineLevel="0" collapsed="false">
      <c r="A223" s="45" t="s">
        <v>1514</v>
      </c>
      <c r="B223" s="122" t="s">
        <v>790</v>
      </c>
      <c r="C223" s="23" t="s">
        <v>746</v>
      </c>
      <c r="D223" s="23" t="s">
        <v>791</v>
      </c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109" t="s">
        <v>1123</v>
      </c>
      <c r="P223" s="23"/>
    </row>
    <row r="224" customFormat="false" ht="34.5" hidden="false" customHeight="true" outlineLevel="0" collapsed="false">
      <c r="A224" s="47" t="s">
        <v>1515</v>
      </c>
      <c r="B224" s="123" t="s">
        <v>793</v>
      </c>
      <c r="C224" s="32" t="s">
        <v>746</v>
      </c>
      <c r="D224" s="32" t="s">
        <v>794</v>
      </c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109" t="s">
        <v>1123</v>
      </c>
      <c r="P224" s="32"/>
    </row>
    <row r="225" customFormat="false" ht="34.5" hidden="false" customHeight="true" outlineLevel="0" collapsed="false">
      <c r="A225" s="45" t="s">
        <v>1516</v>
      </c>
      <c r="B225" s="122" t="s">
        <v>796</v>
      </c>
      <c r="C225" s="23" t="s">
        <v>746</v>
      </c>
      <c r="D225" s="23" t="s">
        <v>1517</v>
      </c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109" t="s">
        <v>1123</v>
      </c>
      <c r="P225" s="23"/>
    </row>
    <row r="226" customFormat="false" ht="34.5" hidden="false" customHeight="true" outlineLevel="0" collapsed="false">
      <c r="A226" s="47" t="s">
        <v>1518</v>
      </c>
      <c r="B226" s="123" t="s">
        <v>799</v>
      </c>
      <c r="C226" s="32" t="s">
        <v>746</v>
      </c>
      <c r="D226" s="32" t="s">
        <v>1519</v>
      </c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109" t="s">
        <v>1123</v>
      </c>
      <c r="P226" s="32"/>
    </row>
    <row r="227" customFormat="false" ht="34.5" hidden="false" customHeight="true" outlineLevel="0" collapsed="false">
      <c r="A227" s="45" t="s">
        <v>1520</v>
      </c>
      <c r="B227" s="122" t="s">
        <v>802</v>
      </c>
      <c r="C227" s="23" t="s">
        <v>746</v>
      </c>
      <c r="D227" s="23" t="s">
        <v>803</v>
      </c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109" t="s">
        <v>1123</v>
      </c>
      <c r="P227" s="23"/>
    </row>
    <row r="228" customFormat="false" ht="34.5" hidden="false" customHeight="true" outlineLevel="0" collapsed="false">
      <c r="A228" s="47" t="s">
        <v>1521</v>
      </c>
      <c r="B228" s="123" t="s">
        <v>806</v>
      </c>
      <c r="C228" s="32" t="s">
        <v>746</v>
      </c>
      <c r="D228" s="32" t="s">
        <v>1522</v>
      </c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109" t="s">
        <v>1123</v>
      </c>
      <c r="P228" s="32"/>
    </row>
    <row r="229" customFormat="false" ht="34.5" hidden="false" customHeight="true" outlineLevel="0" collapsed="false">
      <c r="A229" s="45" t="s">
        <v>1523</v>
      </c>
      <c r="B229" s="122" t="s">
        <v>809</v>
      </c>
      <c r="C229" s="23" t="s">
        <v>746</v>
      </c>
      <c r="D229" s="23" t="s">
        <v>1524</v>
      </c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109" t="s">
        <v>1123</v>
      </c>
      <c r="P229" s="23"/>
    </row>
    <row r="230" customFormat="false" ht="34.5" hidden="false" customHeight="true" outlineLevel="0" collapsed="false">
      <c r="A230" s="47" t="s">
        <v>1525</v>
      </c>
      <c r="B230" s="123" t="s">
        <v>812</v>
      </c>
      <c r="C230" s="32" t="s">
        <v>746</v>
      </c>
      <c r="D230" s="32" t="s">
        <v>1526</v>
      </c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109" t="s">
        <v>1123</v>
      </c>
      <c r="P230" s="32"/>
    </row>
    <row r="231" customFormat="false" ht="34.5" hidden="false" customHeight="true" outlineLevel="0" collapsed="false">
      <c r="A231" s="45" t="s">
        <v>1527</v>
      </c>
      <c r="B231" s="122" t="s">
        <v>815</v>
      </c>
      <c r="C231" s="23" t="s">
        <v>746</v>
      </c>
      <c r="D231" s="23" t="s">
        <v>1528</v>
      </c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109" t="s">
        <v>1123</v>
      </c>
      <c r="P231" s="23"/>
    </row>
    <row r="232" customFormat="false" ht="34.5" hidden="false" customHeight="true" outlineLevel="0" collapsed="false">
      <c r="A232" s="47" t="s">
        <v>1529</v>
      </c>
      <c r="B232" s="123" t="s">
        <v>818</v>
      </c>
      <c r="C232" s="32" t="s">
        <v>746</v>
      </c>
      <c r="D232" s="32" t="s">
        <v>819</v>
      </c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109" t="s">
        <v>1123</v>
      </c>
      <c r="P232" s="32"/>
    </row>
    <row r="233" customFormat="false" ht="34.5" hidden="false" customHeight="true" outlineLevel="0" collapsed="false">
      <c r="A233" s="45" t="s">
        <v>1530</v>
      </c>
      <c r="B233" s="122" t="s">
        <v>822</v>
      </c>
      <c r="C233" s="23" t="s">
        <v>746</v>
      </c>
      <c r="D233" s="23" t="s">
        <v>823</v>
      </c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109" t="s">
        <v>1123</v>
      </c>
      <c r="P233" s="23"/>
    </row>
    <row r="234" customFormat="false" ht="34.5" hidden="false" customHeight="true" outlineLevel="0" collapsed="false">
      <c r="A234" s="47" t="s">
        <v>1531</v>
      </c>
      <c r="B234" s="123" t="s">
        <v>825</v>
      </c>
      <c r="C234" s="32" t="s">
        <v>746</v>
      </c>
      <c r="D234" s="32" t="s">
        <v>1532</v>
      </c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109" t="s">
        <v>1123</v>
      </c>
      <c r="P234" s="32"/>
    </row>
    <row r="235" customFormat="false" ht="34.5" hidden="false" customHeight="true" outlineLevel="0" collapsed="false">
      <c r="A235" s="45" t="s">
        <v>1533</v>
      </c>
      <c r="B235" s="122" t="s">
        <v>828</v>
      </c>
      <c r="C235" s="23" t="s">
        <v>746</v>
      </c>
      <c r="D235" s="23" t="s">
        <v>1534</v>
      </c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109" t="s">
        <v>1123</v>
      </c>
      <c r="P235" s="23"/>
    </row>
    <row r="236" customFormat="false" ht="34.5" hidden="false" customHeight="true" outlineLevel="0" collapsed="false">
      <c r="A236" s="47" t="s">
        <v>1535</v>
      </c>
      <c r="B236" s="123" t="s">
        <v>831</v>
      </c>
      <c r="C236" s="32" t="s">
        <v>746</v>
      </c>
      <c r="D236" s="32" t="s">
        <v>832</v>
      </c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109" t="s">
        <v>1123</v>
      </c>
      <c r="P236" s="32"/>
    </row>
    <row r="237" customFormat="false" ht="34.5" hidden="false" customHeight="true" outlineLevel="0" collapsed="false">
      <c r="A237" s="45" t="s">
        <v>1536</v>
      </c>
      <c r="B237" s="122" t="s">
        <v>834</v>
      </c>
      <c r="C237" s="23" t="s">
        <v>746</v>
      </c>
      <c r="D237" s="23" t="s">
        <v>1537</v>
      </c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109" t="s">
        <v>1123</v>
      </c>
      <c r="P237" s="23"/>
    </row>
    <row r="238" customFormat="false" ht="34.5" hidden="false" customHeight="true" outlineLevel="0" collapsed="false">
      <c r="A238" s="47" t="s">
        <v>1538</v>
      </c>
      <c r="B238" s="123" t="s">
        <v>837</v>
      </c>
      <c r="C238" s="32" t="s">
        <v>746</v>
      </c>
      <c r="D238" s="32" t="s">
        <v>1539</v>
      </c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109" t="s">
        <v>1123</v>
      </c>
      <c r="P238" s="32"/>
    </row>
    <row r="239" customFormat="false" ht="34.5" hidden="false" customHeight="true" outlineLevel="0" collapsed="false">
      <c r="A239" s="45" t="s">
        <v>1540</v>
      </c>
      <c r="B239" s="122" t="s">
        <v>840</v>
      </c>
      <c r="C239" s="23" t="s">
        <v>746</v>
      </c>
      <c r="D239" s="23" t="s">
        <v>1541</v>
      </c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109" t="s">
        <v>1123</v>
      </c>
      <c r="P239" s="23"/>
    </row>
    <row r="240" customFormat="false" ht="34.5" hidden="false" customHeight="true" outlineLevel="0" collapsed="false">
      <c r="A240" s="47" t="s">
        <v>1542</v>
      </c>
      <c r="B240" s="123" t="s">
        <v>843</v>
      </c>
      <c r="C240" s="32" t="s">
        <v>746</v>
      </c>
      <c r="D240" s="32" t="s">
        <v>1543</v>
      </c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109" t="s">
        <v>1123</v>
      </c>
      <c r="P240" s="32"/>
    </row>
    <row r="241" customFormat="false" ht="34.5" hidden="false" customHeight="true" outlineLevel="0" collapsed="false">
      <c r="A241" s="45" t="s">
        <v>1544</v>
      </c>
      <c r="B241" s="122" t="s">
        <v>846</v>
      </c>
      <c r="C241" s="23" t="s">
        <v>746</v>
      </c>
      <c r="D241" s="23" t="s">
        <v>1545</v>
      </c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109" t="s">
        <v>1123</v>
      </c>
      <c r="P241" s="23"/>
    </row>
    <row r="242" customFormat="false" ht="34.5" hidden="false" customHeight="true" outlineLevel="0" collapsed="false">
      <c r="A242" s="47" t="s">
        <v>1546</v>
      </c>
      <c r="B242" s="123" t="s">
        <v>849</v>
      </c>
      <c r="C242" s="32" t="s">
        <v>746</v>
      </c>
      <c r="D242" s="32" t="s">
        <v>1547</v>
      </c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109" t="s">
        <v>1123</v>
      </c>
      <c r="P242" s="32"/>
    </row>
    <row r="243" customFormat="false" ht="34.5" hidden="false" customHeight="true" outlineLevel="0" collapsed="false">
      <c r="A243" s="45" t="s">
        <v>1548</v>
      </c>
      <c r="B243" s="124" t="s">
        <v>854</v>
      </c>
      <c r="C243" s="23" t="s">
        <v>853</v>
      </c>
      <c r="D243" s="23" t="s">
        <v>1549</v>
      </c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109" t="s">
        <v>1123</v>
      </c>
      <c r="P243" s="23"/>
    </row>
    <row r="244" customFormat="false" ht="34.5" hidden="false" customHeight="true" outlineLevel="0" collapsed="false">
      <c r="A244" s="47" t="s">
        <v>1550</v>
      </c>
      <c r="B244" s="125" t="s">
        <v>858</v>
      </c>
      <c r="C244" s="32" t="s">
        <v>853</v>
      </c>
      <c r="D244" s="32" t="s">
        <v>1551</v>
      </c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109" t="s">
        <v>1123</v>
      </c>
      <c r="P244" s="32"/>
    </row>
    <row r="245" customFormat="false" ht="34.5" hidden="false" customHeight="true" outlineLevel="0" collapsed="false">
      <c r="A245" s="45" t="s">
        <v>1552</v>
      </c>
      <c r="B245" s="124" t="s">
        <v>861</v>
      </c>
      <c r="C245" s="23" t="s">
        <v>853</v>
      </c>
      <c r="D245" s="23" t="s">
        <v>1553</v>
      </c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109" t="s">
        <v>1123</v>
      </c>
      <c r="P245" s="23"/>
    </row>
    <row r="246" customFormat="false" ht="34.5" hidden="false" customHeight="true" outlineLevel="0" collapsed="false">
      <c r="A246" s="47" t="s">
        <v>1554</v>
      </c>
      <c r="B246" s="125" t="s">
        <v>864</v>
      </c>
      <c r="C246" s="32" t="s">
        <v>853</v>
      </c>
      <c r="D246" s="32" t="s">
        <v>1555</v>
      </c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109" t="s">
        <v>1123</v>
      </c>
      <c r="P246" s="32"/>
    </row>
    <row r="247" customFormat="false" ht="34.5" hidden="false" customHeight="true" outlineLevel="0" collapsed="false">
      <c r="A247" s="45" t="s">
        <v>1556</v>
      </c>
      <c r="B247" s="124" t="s">
        <v>867</v>
      </c>
      <c r="C247" s="23" t="s">
        <v>853</v>
      </c>
      <c r="D247" s="23" t="s">
        <v>1557</v>
      </c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109" t="s">
        <v>1123</v>
      </c>
      <c r="P247" s="23"/>
    </row>
    <row r="248" customFormat="false" ht="34.5" hidden="false" customHeight="true" outlineLevel="0" collapsed="false">
      <c r="A248" s="47" t="s">
        <v>1558</v>
      </c>
      <c r="B248" s="125" t="s">
        <v>870</v>
      </c>
      <c r="C248" s="32" t="s">
        <v>853</v>
      </c>
      <c r="D248" s="32" t="s">
        <v>1559</v>
      </c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109" t="s">
        <v>1123</v>
      </c>
      <c r="P248" s="32"/>
    </row>
    <row r="249" customFormat="false" ht="34.5" hidden="false" customHeight="true" outlineLevel="0" collapsed="false">
      <c r="A249" s="45" t="s">
        <v>1560</v>
      </c>
      <c r="B249" s="124" t="s">
        <v>873</v>
      </c>
      <c r="C249" s="23" t="s">
        <v>853</v>
      </c>
      <c r="D249" s="23" t="s">
        <v>1561</v>
      </c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109" t="s">
        <v>1123</v>
      </c>
      <c r="P249" s="23"/>
    </row>
    <row r="250" customFormat="false" ht="34.5" hidden="false" customHeight="true" outlineLevel="0" collapsed="false">
      <c r="A250" s="47" t="s">
        <v>1562</v>
      </c>
      <c r="B250" s="125" t="s">
        <v>876</v>
      </c>
      <c r="C250" s="32" t="s">
        <v>853</v>
      </c>
      <c r="D250" s="32" t="s">
        <v>1563</v>
      </c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109" t="s">
        <v>1123</v>
      </c>
      <c r="P250" s="32"/>
    </row>
    <row r="251" customFormat="false" ht="34.5" hidden="false" customHeight="true" outlineLevel="0" collapsed="false">
      <c r="A251" s="45" t="s">
        <v>1564</v>
      </c>
      <c r="B251" s="124" t="s">
        <v>879</v>
      </c>
      <c r="C251" s="23" t="s">
        <v>853</v>
      </c>
      <c r="D251" s="23" t="s">
        <v>1565</v>
      </c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109" t="s">
        <v>1123</v>
      </c>
      <c r="P251" s="23"/>
    </row>
    <row r="252" customFormat="false" ht="34.5" hidden="false" customHeight="true" outlineLevel="0" collapsed="false">
      <c r="A252" s="47" t="s">
        <v>1566</v>
      </c>
      <c r="B252" s="125" t="s">
        <v>882</v>
      </c>
      <c r="C252" s="32" t="s">
        <v>853</v>
      </c>
      <c r="D252" s="32" t="s">
        <v>1567</v>
      </c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109" t="s">
        <v>1123</v>
      </c>
      <c r="P252" s="32"/>
    </row>
    <row r="253" customFormat="false" ht="34.5" hidden="false" customHeight="true" outlineLevel="0" collapsed="false">
      <c r="A253" s="45" t="s">
        <v>1568</v>
      </c>
      <c r="B253" s="124" t="s">
        <v>885</v>
      </c>
      <c r="C253" s="23" t="s">
        <v>853</v>
      </c>
      <c r="D253" s="23" t="s">
        <v>1569</v>
      </c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109" t="s">
        <v>1123</v>
      </c>
      <c r="P253" s="23"/>
    </row>
    <row r="254" customFormat="false" ht="34.5" hidden="false" customHeight="true" outlineLevel="0" collapsed="false">
      <c r="A254" s="47" t="s">
        <v>1570</v>
      </c>
      <c r="B254" s="125" t="s">
        <v>888</v>
      </c>
      <c r="C254" s="32" t="s">
        <v>853</v>
      </c>
      <c r="D254" s="32" t="s">
        <v>1571</v>
      </c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109" t="s">
        <v>1123</v>
      </c>
      <c r="P254" s="32"/>
    </row>
    <row r="255" customFormat="false" ht="34.5" hidden="false" customHeight="true" outlineLevel="0" collapsed="false">
      <c r="A255" s="45" t="s">
        <v>1572</v>
      </c>
      <c r="B255" s="124" t="s">
        <v>891</v>
      </c>
      <c r="C255" s="23" t="s">
        <v>853</v>
      </c>
      <c r="D255" s="23" t="s">
        <v>1573</v>
      </c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109" t="s">
        <v>1123</v>
      </c>
      <c r="P255" s="23"/>
    </row>
    <row r="256" customFormat="false" ht="34.5" hidden="false" customHeight="true" outlineLevel="0" collapsed="false">
      <c r="A256" s="47" t="s">
        <v>1574</v>
      </c>
      <c r="B256" s="125" t="s">
        <v>894</v>
      </c>
      <c r="C256" s="32" t="s">
        <v>853</v>
      </c>
      <c r="D256" s="32" t="s">
        <v>1575</v>
      </c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109" t="s">
        <v>1123</v>
      </c>
      <c r="P256" s="32"/>
    </row>
    <row r="257" customFormat="false" ht="34.5" hidden="false" customHeight="true" outlineLevel="0" collapsed="false">
      <c r="A257" s="45" t="s">
        <v>1576</v>
      </c>
      <c r="B257" s="124" t="s">
        <v>897</v>
      </c>
      <c r="C257" s="23" t="s">
        <v>853</v>
      </c>
      <c r="D257" s="23" t="s">
        <v>1577</v>
      </c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109" t="s">
        <v>1123</v>
      </c>
      <c r="P257" s="23"/>
    </row>
    <row r="258" customFormat="false" ht="34.5" hidden="false" customHeight="true" outlineLevel="0" collapsed="false">
      <c r="A258" s="47" t="s">
        <v>1578</v>
      </c>
      <c r="B258" s="125" t="s">
        <v>900</v>
      </c>
      <c r="C258" s="32" t="s">
        <v>853</v>
      </c>
      <c r="D258" s="32" t="s">
        <v>1579</v>
      </c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109" t="s">
        <v>1123</v>
      </c>
      <c r="P258" s="32"/>
    </row>
    <row r="259" customFormat="false" ht="34.5" hidden="false" customHeight="true" outlineLevel="0" collapsed="false">
      <c r="A259" s="45" t="s">
        <v>1580</v>
      </c>
      <c r="B259" s="124" t="s">
        <v>903</v>
      </c>
      <c r="C259" s="23" t="s">
        <v>853</v>
      </c>
      <c r="D259" s="23" t="s">
        <v>1581</v>
      </c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109" t="s">
        <v>1123</v>
      </c>
      <c r="P259" s="23"/>
    </row>
    <row r="260" customFormat="false" ht="34.5" hidden="false" customHeight="true" outlineLevel="0" collapsed="false">
      <c r="A260" s="47" t="s">
        <v>1582</v>
      </c>
      <c r="B260" s="125" t="s">
        <v>906</v>
      </c>
      <c r="C260" s="32" t="s">
        <v>853</v>
      </c>
      <c r="D260" s="32" t="s">
        <v>1583</v>
      </c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109" t="s">
        <v>1123</v>
      </c>
      <c r="P260" s="32"/>
    </row>
    <row r="261" customFormat="false" ht="34.5" hidden="false" customHeight="true" outlineLevel="0" collapsed="false">
      <c r="A261" s="45" t="s">
        <v>1584</v>
      </c>
      <c r="B261" s="124" t="s">
        <v>909</v>
      </c>
      <c r="C261" s="23" t="s">
        <v>853</v>
      </c>
      <c r="D261" s="23" t="s">
        <v>1585</v>
      </c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109" t="s">
        <v>1123</v>
      </c>
      <c r="P261" s="23"/>
    </row>
    <row r="262" customFormat="false" ht="34.5" hidden="false" customHeight="true" outlineLevel="0" collapsed="false">
      <c r="A262" s="47" t="s">
        <v>1586</v>
      </c>
      <c r="B262" s="125" t="s">
        <v>912</v>
      </c>
      <c r="C262" s="32" t="s">
        <v>853</v>
      </c>
      <c r="D262" s="32" t="s">
        <v>1587</v>
      </c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109" t="s">
        <v>1123</v>
      </c>
      <c r="P262" s="32"/>
    </row>
    <row r="263" customFormat="false" ht="34.5" hidden="false" customHeight="true" outlineLevel="0" collapsed="false">
      <c r="A263" s="45" t="s">
        <v>1588</v>
      </c>
      <c r="B263" s="124" t="s">
        <v>915</v>
      </c>
      <c r="C263" s="23" t="s">
        <v>853</v>
      </c>
      <c r="D263" s="23" t="s">
        <v>1589</v>
      </c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109" t="s">
        <v>1123</v>
      </c>
      <c r="P263" s="23"/>
    </row>
    <row r="264" customFormat="false" ht="34.5" hidden="false" customHeight="true" outlineLevel="0" collapsed="false">
      <c r="A264" s="47" t="s">
        <v>1590</v>
      </c>
      <c r="B264" s="125" t="s">
        <v>919</v>
      </c>
      <c r="C264" s="32" t="s">
        <v>853</v>
      </c>
      <c r="D264" s="32" t="s">
        <v>920</v>
      </c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109" t="s">
        <v>1123</v>
      </c>
      <c r="P264" s="32"/>
    </row>
    <row r="265" customFormat="false" ht="34.5" hidden="false" customHeight="true" outlineLevel="0" collapsed="false">
      <c r="A265" s="45" t="s">
        <v>1591</v>
      </c>
      <c r="B265" s="124" t="s">
        <v>922</v>
      </c>
      <c r="C265" s="23" t="s">
        <v>853</v>
      </c>
      <c r="D265" s="23" t="s">
        <v>1592</v>
      </c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109" t="s">
        <v>1123</v>
      </c>
      <c r="P265" s="23"/>
    </row>
    <row r="266" customFormat="false" ht="34.5" hidden="false" customHeight="true" outlineLevel="0" collapsed="false">
      <c r="A266" s="47" t="s">
        <v>1593</v>
      </c>
      <c r="B266" s="125" t="s">
        <v>925</v>
      </c>
      <c r="C266" s="32" t="s">
        <v>853</v>
      </c>
      <c r="D266" s="32" t="s">
        <v>1594</v>
      </c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109" t="s">
        <v>1123</v>
      </c>
      <c r="P266" s="32"/>
    </row>
    <row r="267" customFormat="false" ht="34.5" hidden="false" customHeight="true" outlineLevel="0" collapsed="false">
      <c r="A267" s="45" t="s">
        <v>1595</v>
      </c>
      <c r="B267" s="124" t="s">
        <v>928</v>
      </c>
      <c r="C267" s="23" t="s">
        <v>853</v>
      </c>
      <c r="D267" s="23" t="s">
        <v>1596</v>
      </c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109" t="s">
        <v>1123</v>
      </c>
      <c r="P267" s="23"/>
    </row>
    <row r="268" customFormat="false" ht="34.5" hidden="false" customHeight="true" outlineLevel="0" collapsed="false">
      <c r="A268" s="47" t="s">
        <v>1597</v>
      </c>
      <c r="B268" s="125" t="s">
        <v>932</v>
      </c>
      <c r="C268" s="32" t="s">
        <v>853</v>
      </c>
      <c r="D268" s="32" t="s">
        <v>933</v>
      </c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109" t="s">
        <v>1123</v>
      </c>
      <c r="P268" s="32"/>
    </row>
    <row r="269" customFormat="false" ht="34.5" hidden="false" customHeight="true" outlineLevel="0" collapsed="false">
      <c r="A269" s="45" t="s">
        <v>1598</v>
      </c>
      <c r="B269" s="124" t="s">
        <v>936</v>
      </c>
      <c r="C269" s="23" t="s">
        <v>853</v>
      </c>
      <c r="D269" s="23" t="s">
        <v>1599</v>
      </c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109" t="s">
        <v>1123</v>
      </c>
      <c r="P269" s="23"/>
    </row>
    <row r="270" customFormat="false" ht="34.5" hidden="false" customHeight="true" outlineLevel="0" collapsed="false">
      <c r="A270" s="47" t="s">
        <v>1600</v>
      </c>
      <c r="B270" s="126" t="s">
        <v>940</v>
      </c>
      <c r="C270" s="32" t="s">
        <v>939</v>
      </c>
      <c r="D270" s="32" t="s">
        <v>1601</v>
      </c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109" t="s">
        <v>1123</v>
      </c>
      <c r="P270" s="32"/>
    </row>
    <row r="271" customFormat="false" ht="34.5" hidden="false" customHeight="true" outlineLevel="0" collapsed="false">
      <c r="A271" s="45" t="s">
        <v>1602</v>
      </c>
      <c r="B271" s="127" t="s">
        <v>944</v>
      </c>
      <c r="C271" s="23" t="s">
        <v>939</v>
      </c>
      <c r="D271" s="23" t="s">
        <v>1603</v>
      </c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109" t="s">
        <v>1123</v>
      </c>
      <c r="P271" s="23"/>
    </row>
    <row r="272" customFormat="false" ht="34.5" hidden="false" customHeight="true" outlineLevel="0" collapsed="false">
      <c r="A272" s="47" t="s">
        <v>1604</v>
      </c>
      <c r="B272" s="126" t="s">
        <v>947</v>
      </c>
      <c r="C272" s="32" t="s">
        <v>939</v>
      </c>
      <c r="D272" s="32" t="s">
        <v>1605</v>
      </c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109" t="s">
        <v>1123</v>
      </c>
      <c r="P272" s="32"/>
    </row>
    <row r="273" customFormat="false" ht="34.5" hidden="false" customHeight="true" outlineLevel="0" collapsed="false">
      <c r="A273" s="45" t="s">
        <v>1606</v>
      </c>
      <c r="B273" s="127" t="s">
        <v>950</v>
      </c>
      <c r="C273" s="23" t="s">
        <v>939</v>
      </c>
      <c r="D273" s="23" t="s">
        <v>1607</v>
      </c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109" t="s">
        <v>1123</v>
      </c>
      <c r="P273" s="23"/>
    </row>
    <row r="274" customFormat="false" ht="34.5" hidden="false" customHeight="true" outlineLevel="0" collapsed="false">
      <c r="A274" s="47" t="s">
        <v>1608</v>
      </c>
      <c r="B274" s="126" t="s">
        <v>953</v>
      </c>
      <c r="C274" s="32" t="s">
        <v>939</v>
      </c>
      <c r="D274" s="32" t="s">
        <v>1609</v>
      </c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109" t="s">
        <v>1123</v>
      </c>
      <c r="P274" s="32"/>
    </row>
    <row r="275" customFormat="false" ht="34.5" hidden="false" customHeight="true" outlineLevel="0" collapsed="false">
      <c r="A275" s="45" t="s">
        <v>1610</v>
      </c>
      <c r="B275" s="127" t="s">
        <v>956</v>
      </c>
      <c r="C275" s="23" t="s">
        <v>939</v>
      </c>
      <c r="D275" s="23" t="s">
        <v>957</v>
      </c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109" t="s">
        <v>1123</v>
      </c>
      <c r="P275" s="23"/>
    </row>
    <row r="276" customFormat="false" ht="34.5" hidden="false" customHeight="true" outlineLevel="0" collapsed="false">
      <c r="A276" s="47" t="s">
        <v>1611</v>
      </c>
      <c r="B276" s="126" t="s">
        <v>959</v>
      </c>
      <c r="C276" s="32" t="s">
        <v>939</v>
      </c>
      <c r="D276" s="32" t="s">
        <v>1612</v>
      </c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109" t="s">
        <v>1123</v>
      </c>
      <c r="P276" s="32"/>
    </row>
    <row r="277" customFormat="false" ht="34.5" hidden="false" customHeight="true" outlineLevel="0" collapsed="false">
      <c r="A277" s="45" t="s">
        <v>1613</v>
      </c>
      <c r="B277" s="127" t="s">
        <v>962</v>
      </c>
      <c r="C277" s="23" t="s">
        <v>939</v>
      </c>
      <c r="D277" s="23" t="s">
        <v>963</v>
      </c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109" t="s">
        <v>1123</v>
      </c>
      <c r="P277" s="23"/>
    </row>
    <row r="278" customFormat="false" ht="34.5" hidden="false" customHeight="true" outlineLevel="0" collapsed="false">
      <c r="A278" s="47" t="s">
        <v>1614</v>
      </c>
      <c r="B278" s="126" t="s">
        <v>965</v>
      </c>
      <c r="C278" s="32" t="s">
        <v>939</v>
      </c>
      <c r="D278" s="32" t="s">
        <v>1615</v>
      </c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109" t="s">
        <v>1123</v>
      </c>
      <c r="P278" s="32"/>
    </row>
    <row r="279" customFormat="false" ht="34.5" hidden="false" customHeight="true" outlineLevel="0" collapsed="false">
      <c r="A279" s="45" t="s">
        <v>1616</v>
      </c>
      <c r="B279" s="127" t="s">
        <v>968</v>
      </c>
      <c r="C279" s="23" t="s">
        <v>939</v>
      </c>
      <c r="D279" s="23" t="s">
        <v>1617</v>
      </c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109" t="s">
        <v>1123</v>
      </c>
      <c r="P279" s="23"/>
    </row>
    <row r="280" customFormat="false" ht="34.5" hidden="false" customHeight="true" outlineLevel="0" collapsed="false">
      <c r="A280" s="47" t="s">
        <v>1618</v>
      </c>
      <c r="B280" s="126" t="s">
        <v>972</v>
      </c>
      <c r="C280" s="32" t="s">
        <v>939</v>
      </c>
      <c r="D280" s="32" t="s">
        <v>1619</v>
      </c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109" t="s">
        <v>1123</v>
      </c>
      <c r="P280" s="32"/>
    </row>
    <row r="281" customFormat="false" ht="34.5" hidden="false" customHeight="true" outlineLevel="0" collapsed="false">
      <c r="A281" s="45" t="s">
        <v>1620</v>
      </c>
      <c r="B281" s="127" t="s">
        <v>975</v>
      </c>
      <c r="C281" s="23" t="s">
        <v>939</v>
      </c>
      <c r="D281" s="23" t="s">
        <v>1621</v>
      </c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109" t="s">
        <v>1123</v>
      </c>
      <c r="P281" s="23"/>
    </row>
    <row r="282" customFormat="false" ht="34.5" hidden="false" customHeight="true" outlineLevel="0" collapsed="false">
      <c r="A282" s="47" t="s">
        <v>1622</v>
      </c>
      <c r="B282" s="126" t="s">
        <v>978</v>
      </c>
      <c r="C282" s="32" t="s">
        <v>939</v>
      </c>
      <c r="D282" s="32" t="s">
        <v>979</v>
      </c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109" t="s">
        <v>1123</v>
      </c>
      <c r="P282" s="32"/>
    </row>
    <row r="283" customFormat="false" ht="34.5" hidden="false" customHeight="true" outlineLevel="0" collapsed="false">
      <c r="A283" s="45" t="s">
        <v>1623</v>
      </c>
      <c r="B283" s="127" t="s">
        <v>981</v>
      </c>
      <c r="C283" s="23" t="s">
        <v>939</v>
      </c>
      <c r="D283" s="23" t="s">
        <v>1624</v>
      </c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109" t="s">
        <v>1123</v>
      </c>
      <c r="P283" s="23"/>
    </row>
    <row r="284" customFormat="false" ht="34.5" hidden="false" customHeight="true" outlineLevel="0" collapsed="false">
      <c r="A284" s="47" t="s">
        <v>1625</v>
      </c>
      <c r="B284" s="126" t="s">
        <v>984</v>
      </c>
      <c r="C284" s="32" t="s">
        <v>939</v>
      </c>
      <c r="D284" s="32" t="s">
        <v>1626</v>
      </c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109" t="s">
        <v>1123</v>
      </c>
      <c r="P284" s="32"/>
    </row>
    <row r="285" customFormat="false" ht="34.5" hidden="false" customHeight="true" outlineLevel="0" collapsed="false">
      <c r="A285" s="45" t="s">
        <v>1627</v>
      </c>
      <c r="B285" s="127" t="s">
        <v>987</v>
      </c>
      <c r="C285" s="23" t="s">
        <v>939</v>
      </c>
      <c r="D285" s="23" t="s">
        <v>1628</v>
      </c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109" t="s">
        <v>1123</v>
      </c>
      <c r="P285" s="23"/>
    </row>
    <row r="286" customFormat="false" ht="34.5" hidden="false" customHeight="true" outlineLevel="0" collapsed="false">
      <c r="A286" s="47" t="s">
        <v>1629</v>
      </c>
      <c r="B286" s="126" t="s">
        <v>990</v>
      </c>
      <c r="C286" s="32" t="s">
        <v>939</v>
      </c>
      <c r="D286" s="32" t="s">
        <v>991</v>
      </c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109" t="s">
        <v>1123</v>
      </c>
      <c r="P286" s="32"/>
    </row>
    <row r="287" customFormat="false" ht="34.5" hidden="false" customHeight="true" outlineLevel="0" collapsed="false">
      <c r="A287" s="45" t="s">
        <v>1630</v>
      </c>
      <c r="B287" s="127" t="s">
        <v>993</v>
      </c>
      <c r="C287" s="23" t="s">
        <v>939</v>
      </c>
      <c r="D287" s="23" t="s">
        <v>1631</v>
      </c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109" t="s">
        <v>1123</v>
      </c>
      <c r="P287" s="23"/>
    </row>
    <row r="288" customFormat="false" ht="34.5" hidden="false" customHeight="true" outlineLevel="0" collapsed="false">
      <c r="A288" s="47" t="s">
        <v>1632</v>
      </c>
      <c r="B288" s="126" t="s">
        <v>996</v>
      </c>
      <c r="C288" s="32" t="s">
        <v>939</v>
      </c>
      <c r="D288" s="32" t="s">
        <v>1633</v>
      </c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109" t="s">
        <v>1123</v>
      </c>
      <c r="P288" s="32"/>
    </row>
    <row r="289" customFormat="false" ht="34.5" hidden="false" customHeight="true" outlineLevel="0" collapsed="false">
      <c r="A289" s="45" t="s">
        <v>1634</v>
      </c>
      <c r="B289" s="127" t="s">
        <v>999</v>
      </c>
      <c r="C289" s="23" t="s">
        <v>939</v>
      </c>
      <c r="D289" s="23" t="s">
        <v>1635</v>
      </c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109" t="s">
        <v>1123</v>
      </c>
      <c r="P289" s="23"/>
    </row>
    <row r="290" customFormat="false" ht="34.5" hidden="false" customHeight="true" outlineLevel="0" collapsed="false">
      <c r="A290" s="47" t="s">
        <v>1636</v>
      </c>
      <c r="B290" s="126" t="s">
        <v>1002</v>
      </c>
      <c r="C290" s="32" t="s">
        <v>939</v>
      </c>
      <c r="D290" s="32" t="s">
        <v>1637</v>
      </c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109" t="s">
        <v>1123</v>
      </c>
      <c r="P290" s="32"/>
    </row>
    <row r="291" customFormat="false" ht="34.5" hidden="false" customHeight="true" outlineLevel="0" collapsed="false">
      <c r="A291" s="45" t="s">
        <v>1638</v>
      </c>
      <c r="B291" s="127" t="s">
        <v>1006</v>
      </c>
      <c r="C291" s="23" t="s">
        <v>939</v>
      </c>
      <c r="D291" s="23" t="s">
        <v>1007</v>
      </c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109" t="s">
        <v>1123</v>
      </c>
      <c r="P291" s="23"/>
    </row>
    <row r="292" customFormat="false" ht="34.5" hidden="false" customHeight="true" outlineLevel="0" collapsed="false">
      <c r="A292" s="47" t="s">
        <v>1639</v>
      </c>
      <c r="B292" s="126" t="s">
        <v>1009</v>
      </c>
      <c r="C292" s="32" t="s">
        <v>939</v>
      </c>
      <c r="D292" s="32" t="s">
        <v>1640</v>
      </c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109" t="s">
        <v>1123</v>
      </c>
      <c r="P292" s="32"/>
    </row>
    <row r="293" customFormat="false" ht="34.5" hidden="false" customHeight="true" outlineLevel="0" collapsed="false">
      <c r="A293" s="45" t="s">
        <v>1641</v>
      </c>
      <c r="B293" s="127" t="s">
        <v>1012</v>
      </c>
      <c r="C293" s="23" t="s">
        <v>939</v>
      </c>
      <c r="D293" s="23" t="s">
        <v>1642</v>
      </c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109" t="s">
        <v>1123</v>
      </c>
      <c r="P293" s="23"/>
    </row>
    <row r="294" customFormat="false" ht="34.5" hidden="false" customHeight="true" outlineLevel="0" collapsed="false">
      <c r="A294" s="47" t="s">
        <v>1643</v>
      </c>
      <c r="B294" s="126" t="s">
        <v>1015</v>
      </c>
      <c r="C294" s="32" t="s">
        <v>939</v>
      </c>
      <c r="D294" s="32" t="s">
        <v>1644</v>
      </c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109" t="s">
        <v>1123</v>
      </c>
      <c r="P294" s="32"/>
    </row>
    <row r="295" customFormat="false" ht="34.5" hidden="false" customHeight="true" outlineLevel="0" collapsed="false">
      <c r="A295" s="45" t="s">
        <v>1645</v>
      </c>
      <c r="B295" s="127" t="s">
        <v>1018</v>
      </c>
      <c r="C295" s="23" t="s">
        <v>939</v>
      </c>
      <c r="D295" s="23" t="s">
        <v>1646</v>
      </c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109" t="s">
        <v>1123</v>
      </c>
      <c r="P295" s="23"/>
    </row>
    <row r="296" customFormat="false" ht="34.5" hidden="false" customHeight="true" outlineLevel="0" collapsed="false">
      <c r="A296" s="47" t="s">
        <v>1647</v>
      </c>
      <c r="B296" s="126" t="s">
        <v>1021</v>
      </c>
      <c r="C296" s="32" t="s">
        <v>939</v>
      </c>
      <c r="D296" s="32" t="s">
        <v>1648</v>
      </c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109" t="s">
        <v>1123</v>
      </c>
      <c r="P296" s="32"/>
    </row>
    <row r="297" customFormat="false" ht="34.5" hidden="false" customHeight="true" outlineLevel="0" collapsed="false">
      <c r="A297" s="45" t="s">
        <v>1649</v>
      </c>
      <c r="B297" s="127" t="s">
        <v>1024</v>
      </c>
      <c r="C297" s="23" t="s">
        <v>939</v>
      </c>
      <c r="D297" s="23" t="s">
        <v>1025</v>
      </c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109" t="s">
        <v>1123</v>
      </c>
      <c r="P297" s="23"/>
    </row>
    <row r="298" customFormat="false" ht="34.5" hidden="false" customHeight="true" outlineLevel="0" collapsed="false">
      <c r="A298" s="47" t="s">
        <v>1650</v>
      </c>
      <c r="B298" s="126" t="s">
        <v>1028</v>
      </c>
      <c r="C298" s="32" t="s">
        <v>939</v>
      </c>
      <c r="D298" s="32" t="s">
        <v>1651</v>
      </c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109" t="s">
        <v>1123</v>
      </c>
      <c r="P298" s="32"/>
    </row>
    <row r="299" customFormat="false" ht="34.5" hidden="false" customHeight="true" outlineLevel="0" collapsed="false">
      <c r="A299" s="45" t="s">
        <v>1652</v>
      </c>
      <c r="B299" s="127" t="s">
        <v>1031</v>
      </c>
      <c r="C299" s="23" t="s">
        <v>939</v>
      </c>
      <c r="D299" s="23" t="s">
        <v>1653</v>
      </c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109" t="s">
        <v>1123</v>
      </c>
      <c r="P299" s="23"/>
    </row>
    <row r="300" customFormat="false" ht="34.5" hidden="false" customHeight="true" outlineLevel="0" collapsed="false">
      <c r="A300" s="47" t="s">
        <v>1654</v>
      </c>
      <c r="B300" s="126" t="s">
        <v>1034</v>
      </c>
      <c r="C300" s="32" t="s">
        <v>939</v>
      </c>
      <c r="D300" s="32" t="s">
        <v>1655</v>
      </c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109" t="s">
        <v>1123</v>
      </c>
      <c r="P300" s="32"/>
    </row>
    <row r="301" customFormat="false" ht="34.5" hidden="false" customHeight="true" outlineLevel="0" collapsed="false">
      <c r="A301" s="45" t="s">
        <v>1656</v>
      </c>
      <c r="B301" s="127" t="s">
        <v>1037</v>
      </c>
      <c r="C301" s="23" t="s">
        <v>939</v>
      </c>
      <c r="D301" s="23" t="s">
        <v>1657</v>
      </c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109" t="s">
        <v>1123</v>
      </c>
      <c r="P301" s="23"/>
    </row>
    <row r="302" customFormat="false" ht="34.5" hidden="false" customHeight="true" outlineLevel="0" collapsed="false">
      <c r="A302" s="47" t="s">
        <v>1658</v>
      </c>
      <c r="B302" s="126" t="s">
        <v>1041</v>
      </c>
      <c r="C302" s="32" t="s">
        <v>939</v>
      </c>
      <c r="D302" s="32" t="s">
        <v>1659</v>
      </c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109" t="s">
        <v>1123</v>
      </c>
      <c r="P302" s="32"/>
    </row>
    <row r="303" customFormat="false" ht="34.5" hidden="false" customHeight="true" outlineLevel="0" collapsed="false">
      <c r="A303" s="45" t="s">
        <v>1660</v>
      </c>
      <c r="B303" s="127" t="s">
        <v>1044</v>
      </c>
      <c r="C303" s="23" t="s">
        <v>939</v>
      </c>
      <c r="D303" s="23" t="s">
        <v>1661</v>
      </c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109" t="s">
        <v>1123</v>
      </c>
      <c r="P303" s="23"/>
    </row>
    <row r="304" customFormat="false" ht="34.5" hidden="false" customHeight="true" outlineLevel="0" collapsed="false">
      <c r="A304" s="47" t="s">
        <v>1662</v>
      </c>
      <c r="B304" s="126" t="s">
        <v>1047</v>
      </c>
      <c r="C304" s="32" t="s">
        <v>939</v>
      </c>
      <c r="D304" s="32" t="s">
        <v>1663</v>
      </c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109" t="s">
        <v>1123</v>
      </c>
      <c r="P304" s="32"/>
    </row>
    <row r="305" customFormat="false" ht="34.5" hidden="false" customHeight="true" outlineLevel="0" collapsed="false">
      <c r="A305" s="45" t="s">
        <v>1664</v>
      </c>
      <c r="B305" s="127" t="s">
        <v>1050</v>
      </c>
      <c r="C305" s="23" t="s">
        <v>939</v>
      </c>
      <c r="D305" s="23" t="s">
        <v>1051</v>
      </c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109" t="s">
        <v>1123</v>
      </c>
      <c r="P305" s="23"/>
    </row>
    <row r="306" customFormat="false" ht="34.5" hidden="false" customHeight="true" outlineLevel="0" collapsed="false">
      <c r="A306" s="47" t="s">
        <v>1665</v>
      </c>
      <c r="B306" s="126" t="s">
        <v>1053</v>
      </c>
      <c r="C306" s="32" t="s">
        <v>939</v>
      </c>
      <c r="D306" s="32" t="s">
        <v>1666</v>
      </c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109" t="s">
        <v>1123</v>
      </c>
      <c r="P306" s="32"/>
    </row>
    <row r="307" customFormat="false" ht="34.5" hidden="false" customHeight="true" outlineLevel="0" collapsed="false">
      <c r="A307" s="45" t="s">
        <v>1667</v>
      </c>
      <c r="B307" s="127" t="s">
        <v>1057</v>
      </c>
      <c r="C307" s="23" t="s">
        <v>939</v>
      </c>
      <c r="D307" s="23" t="s">
        <v>1668</v>
      </c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109" t="s">
        <v>1123</v>
      </c>
      <c r="P307" s="23"/>
    </row>
    <row r="308" customFormat="false" ht="34.5" hidden="false" customHeight="true" outlineLevel="0" collapsed="false">
      <c r="A308" s="47" t="s">
        <v>1669</v>
      </c>
      <c r="B308" s="126" t="s">
        <v>1060</v>
      </c>
      <c r="C308" s="32" t="s">
        <v>939</v>
      </c>
      <c r="D308" s="32" t="s">
        <v>1670</v>
      </c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109" t="s">
        <v>1123</v>
      </c>
      <c r="P308" s="32"/>
    </row>
    <row r="309" customFormat="false" ht="34.5" hidden="false" customHeight="true" outlineLevel="0" collapsed="false">
      <c r="A309" s="45" t="s">
        <v>1671</v>
      </c>
      <c r="B309" s="127" t="s">
        <v>1063</v>
      </c>
      <c r="C309" s="23" t="s">
        <v>939</v>
      </c>
      <c r="D309" s="23" t="s">
        <v>1672</v>
      </c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109" t="s">
        <v>1123</v>
      </c>
      <c r="P309" s="23"/>
    </row>
    <row r="310" customFormat="false" ht="34.5" hidden="false" customHeight="true" outlineLevel="0" collapsed="false">
      <c r="A310" s="47" t="s">
        <v>1673</v>
      </c>
      <c r="B310" s="126" t="s">
        <v>1066</v>
      </c>
      <c r="C310" s="32" t="s">
        <v>939</v>
      </c>
      <c r="D310" s="32" t="s">
        <v>1674</v>
      </c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109" t="s">
        <v>1123</v>
      </c>
      <c r="P310" s="32"/>
    </row>
    <row r="311" customFormat="false" ht="34.5" hidden="false" customHeight="true" outlineLevel="0" collapsed="false">
      <c r="A311" s="45" t="s">
        <v>1675</v>
      </c>
      <c r="B311" s="127" t="s">
        <v>1069</v>
      </c>
      <c r="C311" s="23" t="s">
        <v>939</v>
      </c>
      <c r="D311" s="23" t="s">
        <v>1676</v>
      </c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109" t="s">
        <v>1123</v>
      </c>
      <c r="P311" s="23"/>
    </row>
    <row r="312" customFormat="false" ht="34.5" hidden="false" customHeight="true" outlineLevel="0" collapsed="false">
      <c r="A312" s="47" t="s">
        <v>1677</v>
      </c>
      <c r="B312" s="126" t="s">
        <v>1072</v>
      </c>
      <c r="C312" s="32" t="s">
        <v>939</v>
      </c>
      <c r="D312" s="32" t="s">
        <v>1678</v>
      </c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109" t="s">
        <v>1123</v>
      </c>
      <c r="P312" s="32"/>
    </row>
    <row r="313" customFormat="false" ht="34.5" hidden="false" customHeight="true" outlineLevel="0" collapsed="false">
      <c r="A313" s="45" t="s">
        <v>1679</v>
      </c>
      <c r="B313" s="127" t="s">
        <v>1075</v>
      </c>
      <c r="C313" s="23" t="s">
        <v>939</v>
      </c>
      <c r="D313" s="23" t="s">
        <v>1680</v>
      </c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109" t="s">
        <v>1123</v>
      </c>
      <c r="P313" s="23"/>
    </row>
    <row r="314" customFormat="false" ht="34.5" hidden="false" customHeight="true" outlineLevel="0" collapsed="false">
      <c r="A314" s="47" t="s">
        <v>1681</v>
      </c>
      <c r="B314" s="126" t="s">
        <v>1078</v>
      </c>
      <c r="C314" s="32" t="s">
        <v>939</v>
      </c>
      <c r="D314" s="32" t="s">
        <v>1682</v>
      </c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109" t="s">
        <v>1123</v>
      </c>
      <c r="P314" s="32"/>
    </row>
    <row r="315" customFormat="false" ht="34.5" hidden="false" customHeight="true" outlineLevel="0" collapsed="false">
      <c r="A315" s="45" t="s">
        <v>1683</v>
      </c>
      <c r="B315" s="127" t="s">
        <v>1081</v>
      </c>
      <c r="C315" s="23" t="s">
        <v>939</v>
      </c>
      <c r="D315" s="23" t="s">
        <v>1684</v>
      </c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109" t="s">
        <v>1123</v>
      </c>
      <c r="P315" s="23"/>
    </row>
  </sheetData>
  <mergeCells count="1">
    <mergeCell ref="A1:P2"/>
  </mergeCells>
  <dataValidations count="2">
    <dataValidation allowBlank="true" errorStyle="stop" operator="between" showDropDown="false" showErrorMessage="false" showInputMessage="false" sqref="E4:E315" type="list">
      <formula1>"Policy,Procedure,Configuration,Screenshot,Log,Certificate,Report,Interview Notes,Scan Result,Test Result,Contract,Training Record,Other"</formula1>
      <formula2>0</formula2>
    </dataValidation>
    <dataValidation allowBlank="true" errorStyle="stop" operator="between" showDropDown="false" showErrorMessage="false" showInputMessage="false" sqref="O4:O315" type="list">
      <formula1>"Collected,Pending Collection,Under Review,Approved,Expired,Missing"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5"/>
    <col collapsed="false" customWidth="true" hidden="false" outlineLevel="0" max="4" min="4" style="0" width="50"/>
    <col collapsed="false" customWidth="true" hidden="false" outlineLevel="0" max="5" min="5" style="0" width="45"/>
    <col collapsed="false" customWidth="true" hidden="false" outlineLevel="0" max="6" min="6" style="0" width="22"/>
    <col collapsed="false" customWidth="true" hidden="false" outlineLevel="0" max="7" min="7" style="0" width="35"/>
    <col collapsed="false" customWidth="true" hidden="false" outlineLevel="0" max="9" min="8" style="0" width="16"/>
    <col collapsed="false" customWidth="true" hidden="false" outlineLevel="0" max="11" min="10" style="0" width="18"/>
    <col collapsed="false" customWidth="true" hidden="false" outlineLevel="0" max="12" min="12" style="0" width="35"/>
    <col collapsed="false" customWidth="true" hidden="false" outlineLevel="0" max="15" min="13" style="0" width="18"/>
    <col collapsed="false" customWidth="true" hidden="false" outlineLevel="0" max="16" min="16" style="0" width="25"/>
    <col collapsed="false" customWidth="true" hidden="false" outlineLevel="0" max="17" min="17" style="0" width="40"/>
    <col collapsed="false" customWidth="true" hidden="false" outlineLevel="0" max="18" min="18" style="0" width="22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1" min="21" style="0" width="14"/>
    <col collapsed="false" customWidth="true" hidden="false" outlineLevel="0" max="22" min="22" style="0" width="35"/>
  </cols>
  <sheetData>
    <row r="1" customFormat="false" ht="15" hidden="false" customHeight="true" outlineLevel="0" collapsed="false">
      <c r="A1" s="18" t="s">
        <v>1685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customFormat="false" ht="27.75" hidden="false" customHeight="true" outlineLevel="0" collapsed="false">
      <c r="A3" s="19" t="s">
        <v>1686</v>
      </c>
      <c r="B3" s="19" t="s">
        <v>50</v>
      </c>
      <c r="C3" s="19" t="s">
        <v>51</v>
      </c>
      <c r="D3" s="19" t="s">
        <v>1687</v>
      </c>
      <c r="E3" s="19" t="s">
        <v>1688</v>
      </c>
      <c r="F3" s="19" t="s">
        <v>1689</v>
      </c>
      <c r="G3" s="19" t="s">
        <v>1690</v>
      </c>
      <c r="H3" s="19" t="s">
        <v>1691</v>
      </c>
      <c r="I3" s="19" t="s">
        <v>1692</v>
      </c>
      <c r="J3" s="19" t="s">
        <v>1693</v>
      </c>
      <c r="K3" s="19" t="s">
        <v>1694</v>
      </c>
      <c r="L3" s="19" t="s">
        <v>1695</v>
      </c>
      <c r="M3" s="19" t="s">
        <v>1696</v>
      </c>
      <c r="N3" s="19" t="s">
        <v>1697</v>
      </c>
      <c r="O3" s="19" t="s">
        <v>1698</v>
      </c>
      <c r="P3" s="19" t="s">
        <v>1699</v>
      </c>
      <c r="Q3" s="19" t="s">
        <v>1700</v>
      </c>
      <c r="R3" s="19" t="s">
        <v>1701</v>
      </c>
      <c r="S3" s="19" t="s">
        <v>1094</v>
      </c>
      <c r="T3" s="19" t="s">
        <v>1702</v>
      </c>
      <c r="U3" s="19" t="s">
        <v>1703</v>
      </c>
      <c r="V3" s="19" t="s">
        <v>74</v>
      </c>
    </row>
    <row r="4" customFormat="false" ht="45" hidden="false" customHeight="true" outlineLevel="0" collapsed="false">
      <c r="A4" s="47" t="s">
        <v>1704</v>
      </c>
      <c r="B4" s="47" t="s">
        <v>76</v>
      </c>
      <c r="C4" s="32" t="s">
        <v>75</v>
      </c>
      <c r="D4" s="32" t="s">
        <v>1705</v>
      </c>
      <c r="E4" s="32"/>
      <c r="F4" s="32"/>
      <c r="G4" s="32"/>
      <c r="H4" s="32"/>
      <c r="I4" s="32"/>
      <c r="J4" s="32" t="n">
        <f aca="false">H4*I4</f>
        <v>0</v>
      </c>
      <c r="K4" s="32" t="str">
        <f aca="false">IF(J4="","",IF(J4&gt;=20,"CRITICAL",IF(J4&gt;=12,"HIGH",IF(J4&gt;=6,"MEDIUM","LOW"))))</f>
        <v>LOW</v>
      </c>
      <c r="L4" s="32"/>
      <c r="M4" s="32"/>
      <c r="N4" s="32" t="n">
        <f aca="false">IF(J4="","",MAX(1,J4-IFERROR(M4*2,0)))</f>
        <v>1</v>
      </c>
      <c r="O4" s="32" t="str">
        <f aca="false">IF(N4="","",IF(N4&gt;=16,"CRITICAL",IF(N4&gt;=8,"HIGH",IF(N4&gt;=4,"MEDIUM","LOW"))))</f>
        <v>LOW</v>
      </c>
      <c r="P4" s="32"/>
      <c r="Q4" s="32"/>
      <c r="R4" s="32"/>
      <c r="S4" s="32"/>
      <c r="T4" s="128" t="s">
        <v>1706</v>
      </c>
      <c r="U4" s="32"/>
      <c r="V4" s="32"/>
    </row>
    <row r="5" customFormat="false" ht="45" hidden="false" customHeight="true" outlineLevel="0" collapsed="false">
      <c r="A5" s="45" t="s">
        <v>1707</v>
      </c>
      <c r="B5" s="45" t="s">
        <v>84</v>
      </c>
      <c r="C5" s="23" t="s">
        <v>75</v>
      </c>
      <c r="D5" s="23" t="s">
        <v>1708</v>
      </c>
      <c r="E5" s="23"/>
      <c r="F5" s="23"/>
      <c r="G5" s="23"/>
      <c r="H5" s="23"/>
      <c r="I5" s="23"/>
      <c r="J5" s="23" t="n">
        <f aca="false">H5*I5</f>
        <v>0</v>
      </c>
      <c r="K5" s="23" t="str">
        <f aca="false">IF(J5="","",IF(J5&gt;=20,"CRITICAL",IF(J5&gt;=12,"HIGH",IF(J5&gt;=6,"MEDIUM","LOW"))))</f>
        <v>LOW</v>
      </c>
      <c r="L5" s="23"/>
      <c r="M5" s="23"/>
      <c r="N5" s="23" t="n">
        <f aca="false">IF(J5="","",MAX(1,J5-IFERROR(M5*2,0)))</f>
        <v>1</v>
      </c>
      <c r="O5" s="23" t="str">
        <f aca="false">IF(N5="","",IF(N5&gt;=16,"CRITICAL",IF(N5&gt;=8,"HIGH",IF(N5&gt;=4,"MEDIUM","LOW"))))</f>
        <v>LOW</v>
      </c>
      <c r="P5" s="23"/>
      <c r="Q5" s="23"/>
      <c r="R5" s="23"/>
      <c r="S5" s="23"/>
      <c r="T5" s="128" t="s">
        <v>1706</v>
      </c>
      <c r="U5" s="23"/>
      <c r="V5" s="23"/>
    </row>
    <row r="6" customFormat="false" ht="45" hidden="false" customHeight="true" outlineLevel="0" collapsed="false">
      <c r="A6" s="47" t="s">
        <v>1709</v>
      </c>
      <c r="B6" s="47" t="s">
        <v>87</v>
      </c>
      <c r="C6" s="32" t="s">
        <v>75</v>
      </c>
      <c r="D6" s="32" t="s">
        <v>1710</v>
      </c>
      <c r="E6" s="32"/>
      <c r="F6" s="32"/>
      <c r="G6" s="32"/>
      <c r="H6" s="32"/>
      <c r="I6" s="32"/>
      <c r="J6" s="32" t="n">
        <f aca="false">H6*I6</f>
        <v>0</v>
      </c>
      <c r="K6" s="32" t="str">
        <f aca="false">IF(J6="","",IF(J6&gt;=20,"CRITICAL",IF(J6&gt;=12,"HIGH",IF(J6&gt;=6,"MEDIUM","LOW"))))</f>
        <v>LOW</v>
      </c>
      <c r="L6" s="32"/>
      <c r="M6" s="32"/>
      <c r="N6" s="32" t="n">
        <f aca="false">IF(J6="","",MAX(1,J6-IFERROR(M6*2,0)))</f>
        <v>1</v>
      </c>
      <c r="O6" s="32" t="str">
        <f aca="false">IF(N6="","",IF(N6&gt;=16,"CRITICAL",IF(N6&gt;=8,"HIGH",IF(N6&gt;=4,"MEDIUM","LOW"))))</f>
        <v>LOW</v>
      </c>
      <c r="P6" s="32"/>
      <c r="Q6" s="32"/>
      <c r="R6" s="32"/>
      <c r="S6" s="32"/>
      <c r="T6" s="128" t="s">
        <v>1706</v>
      </c>
      <c r="U6" s="32"/>
      <c r="V6" s="32"/>
    </row>
    <row r="7" customFormat="false" ht="45" hidden="false" customHeight="true" outlineLevel="0" collapsed="false">
      <c r="A7" s="45" t="s">
        <v>1711</v>
      </c>
      <c r="B7" s="45" t="s">
        <v>91</v>
      </c>
      <c r="C7" s="23" t="s">
        <v>75</v>
      </c>
      <c r="D7" s="23" t="s">
        <v>92</v>
      </c>
      <c r="E7" s="23"/>
      <c r="F7" s="23"/>
      <c r="G7" s="23"/>
      <c r="H7" s="23"/>
      <c r="I7" s="23"/>
      <c r="J7" s="23" t="n">
        <f aca="false">H7*I7</f>
        <v>0</v>
      </c>
      <c r="K7" s="23" t="str">
        <f aca="false">IF(J7="","",IF(J7&gt;=20,"CRITICAL",IF(J7&gt;=12,"HIGH",IF(J7&gt;=6,"MEDIUM","LOW"))))</f>
        <v>LOW</v>
      </c>
      <c r="L7" s="23"/>
      <c r="M7" s="23"/>
      <c r="N7" s="23" t="n">
        <f aca="false">IF(J7="","",MAX(1,J7-IFERROR(M7*2,0)))</f>
        <v>1</v>
      </c>
      <c r="O7" s="23" t="str">
        <f aca="false">IF(N7="","",IF(N7&gt;=16,"CRITICAL",IF(N7&gt;=8,"HIGH",IF(N7&gt;=4,"MEDIUM","LOW"))))</f>
        <v>LOW</v>
      </c>
      <c r="P7" s="23"/>
      <c r="Q7" s="23"/>
      <c r="R7" s="23"/>
      <c r="S7" s="23"/>
      <c r="T7" s="128" t="s">
        <v>1706</v>
      </c>
      <c r="U7" s="23"/>
      <c r="V7" s="23"/>
    </row>
    <row r="8" customFormat="false" ht="45" hidden="false" customHeight="true" outlineLevel="0" collapsed="false">
      <c r="A8" s="47" t="s">
        <v>1712</v>
      </c>
      <c r="B8" s="47" t="s">
        <v>95</v>
      </c>
      <c r="C8" s="32" t="s">
        <v>75</v>
      </c>
      <c r="D8" s="32" t="s">
        <v>1713</v>
      </c>
      <c r="E8" s="32"/>
      <c r="F8" s="32"/>
      <c r="G8" s="32"/>
      <c r="H8" s="32"/>
      <c r="I8" s="32"/>
      <c r="J8" s="32" t="n">
        <f aca="false">H8*I8</f>
        <v>0</v>
      </c>
      <c r="K8" s="32" t="str">
        <f aca="false">IF(J8="","",IF(J8&gt;=20,"CRITICAL",IF(J8&gt;=12,"HIGH",IF(J8&gt;=6,"MEDIUM","LOW"))))</f>
        <v>LOW</v>
      </c>
      <c r="L8" s="32"/>
      <c r="M8" s="32"/>
      <c r="N8" s="32" t="n">
        <f aca="false">IF(J8="","",MAX(1,J8-IFERROR(M8*2,0)))</f>
        <v>1</v>
      </c>
      <c r="O8" s="32" t="str">
        <f aca="false">IF(N8="","",IF(N8&gt;=16,"CRITICAL",IF(N8&gt;=8,"HIGH",IF(N8&gt;=4,"MEDIUM","LOW"))))</f>
        <v>LOW</v>
      </c>
      <c r="P8" s="32"/>
      <c r="Q8" s="32"/>
      <c r="R8" s="32"/>
      <c r="S8" s="32"/>
      <c r="T8" s="128" t="s">
        <v>1706</v>
      </c>
      <c r="U8" s="32"/>
      <c r="V8" s="32"/>
    </row>
    <row r="9" customFormat="false" ht="45" hidden="false" customHeight="true" outlineLevel="0" collapsed="false">
      <c r="A9" s="45" t="s">
        <v>1714</v>
      </c>
      <c r="B9" s="45" t="s">
        <v>98</v>
      </c>
      <c r="C9" s="23" t="s">
        <v>75</v>
      </c>
      <c r="D9" s="23" t="s">
        <v>1715</v>
      </c>
      <c r="E9" s="23"/>
      <c r="F9" s="23"/>
      <c r="G9" s="23"/>
      <c r="H9" s="23"/>
      <c r="I9" s="23"/>
      <c r="J9" s="23" t="n">
        <f aca="false">H9*I9</f>
        <v>0</v>
      </c>
      <c r="K9" s="23" t="str">
        <f aca="false">IF(J9="","",IF(J9&gt;=20,"CRITICAL",IF(J9&gt;=12,"HIGH",IF(J9&gt;=6,"MEDIUM","LOW"))))</f>
        <v>LOW</v>
      </c>
      <c r="L9" s="23"/>
      <c r="M9" s="23"/>
      <c r="N9" s="23" t="n">
        <f aca="false">IF(J9="","",MAX(1,J9-IFERROR(M9*2,0)))</f>
        <v>1</v>
      </c>
      <c r="O9" s="23" t="str">
        <f aca="false">IF(N9="","",IF(N9&gt;=16,"CRITICAL",IF(N9&gt;=8,"HIGH",IF(N9&gt;=4,"MEDIUM","LOW"))))</f>
        <v>LOW</v>
      </c>
      <c r="P9" s="23"/>
      <c r="Q9" s="23"/>
      <c r="R9" s="23"/>
      <c r="S9" s="23"/>
      <c r="T9" s="128" t="s">
        <v>1706</v>
      </c>
      <c r="U9" s="23"/>
      <c r="V9" s="23"/>
    </row>
    <row r="10" customFormat="false" ht="45" hidden="false" customHeight="true" outlineLevel="0" collapsed="false">
      <c r="A10" s="47" t="s">
        <v>1716</v>
      </c>
      <c r="B10" s="47" t="s">
        <v>102</v>
      </c>
      <c r="C10" s="32" t="s">
        <v>75</v>
      </c>
      <c r="D10" s="32" t="s">
        <v>1717</v>
      </c>
      <c r="E10" s="32"/>
      <c r="F10" s="32"/>
      <c r="G10" s="32"/>
      <c r="H10" s="32"/>
      <c r="I10" s="32"/>
      <c r="J10" s="32" t="n">
        <f aca="false">H10*I10</f>
        <v>0</v>
      </c>
      <c r="K10" s="32" t="str">
        <f aca="false">IF(J10="","",IF(J10&gt;=20,"CRITICAL",IF(J10&gt;=12,"HIGH",IF(J10&gt;=6,"MEDIUM","LOW"))))</f>
        <v>LOW</v>
      </c>
      <c r="L10" s="32"/>
      <c r="M10" s="32"/>
      <c r="N10" s="32" t="n">
        <f aca="false">IF(J10="","",MAX(1,J10-IFERROR(M10*2,0)))</f>
        <v>1</v>
      </c>
      <c r="O10" s="32" t="str">
        <f aca="false">IF(N10="","",IF(N10&gt;=16,"CRITICAL",IF(N10&gt;=8,"HIGH",IF(N10&gt;=4,"MEDIUM","LOW"))))</f>
        <v>LOW</v>
      </c>
      <c r="P10" s="32"/>
      <c r="Q10" s="32"/>
      <c r="R10" s="32"/>
      <c r="S10" s="32"/>
      <c r="T10" s="128" t="s">
        <v>1706</v>
      </c>
      <c r="U10" s="32"/>
      <c r="V10" s="32"/>
    </row>
    <row r="11" customFormat="false" ht="45" hidden="false" customHeight="true" outlineLevel="0" collapsed="false">
      <c r="A11" s="45" t="s">
        <v>1718</v>
      </c>
      <c r="B11" s="45" t="s">
        <v>106</v>
      </c>
      <c r="C11" s="23" t="s">
        <v>75</v>
      </c>
      <c r="D11" s="23" t="s">
        <v>1719</v>
      </c>
      <c r="E11" s="23"/>
      <c r="F11" s="23"/>
      <c r="G11" s="23"/>
      <c r="H11" s="23"/>
      <c r="I11" s="23"/>
      <c r="J11" s="23" t="n">
        <f aca="false">H11*I11</f>
        <v>0</v>
      </c>
      <c r="K11" s="23" t="str">
        <f aca="false">IF(J11="","",IF(J11&gt;=20,"CRITICAL",IF(J11&gt;=12,"HIGH",IF(J11&gt;=6,"MEDIUM","LOW"))))</f>
        <v>LOW</v>
      </c>
      <c r="L11" s="23"/>
      <c r="M11" s="23"/>
      <c r="N11" s="23" t="n">
        <f aca="false">IF(J11="","",MAX(1,J11-IFERROR(M11*2,0)))</f>
        <v>1</v>
      </c>
      <c r="O11" s="23" t="str">
        <f aca="false">IF(N11="","",IF(N11&gt;=16,"CRITICAL",IF(N11&gt;=8,"HIGH",IF(N11&gt;=4,"MEDIUM","LOW"))))</f>
        <v>LOW</v>
      </c>
      <c r="P11" s="23"/>
      <c r="Q11" s="23"/>
      <c r="R11" s="23"/>
      <c r="S11" s="23"/>
      <c r="T11" s="128" t="s">
        <v>1706</v>
      </c>
      <c r="U11" s="23"/>
      <c r="V11" s="23"/>
    </row>
    <row r="12" customFormat="false" ht="45" hidden="false" customHeight="true" outlineLevel="0" collapsed="false">
      <c r="A12" s="47" t="s">
        <v>1720</v>
      </c>
      <c r="B12" s="47" t="s">
        <v>109</v>
      </c>
      <c r="C12" s="32" t="s">
        <v>75</v>
      </c>
      <c r="D12" s="32" t="s">
        <v>1721</v>
      </c>
      <c r="E12" s="32"/>
      <c r="F12" s="32"/>
      <c r="G12" s="32"/>
      <c r="H12" s="32"/>
      <c r="I12" s="32"/>
      <c r="J12" s="32" t="n">
        <f aca="false">H12*I12</f>
        <v>0</v>
      </c>
      <c r="K12" s="32" t="str">
        <f aca="false">IF(J12="","",IF(J12&gt;=20,"CRITICAL",IF(J12&gt;=12,"HIGH",IF(J12&gt;=6,"MEDIUM","LOW"))))</f>
        <v>LOW</v>
      </c>
      <c r="L12" s="32"/>
      <c r="M12" s="32"/>
      <c r="N12" s="32" t="n">
        <f aca="false">IF(J12="","",MAX(1,J12-IFERROR(M12*2,0)))</f>
        <v>1</v>
      </c>
      <c r="O12" s="32" t="str">
        <f aca="false">IF(N12="","",IF(N12&gt;=16,"CRITICAL",IF(N12&gt;=8,"HIGH",IF(N12&gt;=4,"MEDIUM","LOW"))))</f>
        <v>LOW</v>
      </c>
      <c r="P12" s="32"/>
      <c r="Q12" s="32"/>
      <c r="R12" s="32"/>
      <c r="S12" s="32"/>
      <c r="T12" s="128" t="s">
        <v>1706</v>
      </c>
      <c r="U12" s="32"/>
      <c r="V12" s="32"/>
    </row>
    <row r="13" customFormat="false" ht="45" hidden="false" customHeight="true" outlineLevel="0" collapsed="false">
      <c r="A13" s="45" t="s">
        <v>1722</v>
      </c>
      <c r="B13" s="45" t="s">
        <v>112</v>
      </c>
      <c r="C13" s="23" t="s">
        <v>75</v>
      </c>
      <c r="D13" s="23" t="s">
        <v>1723</v>
      </c>
      <c r="E13" s="23"/>
      <c r="F13" s="23"/>
      <c r="G13" s="23"/>
      <c r="H13" s="23"/>
      <c r="I13" s="23"/>
      <c r="J13" s="23" t="n">
        <f aca="false">H13*I13</f>
        <v>0</v>
      </c>
      <c r="K13" s="23" t="str">
        <f aca="false">IF(J13="","",IF(J13&gt;=20,"CRITICAL",IF(J13&gt;=12,"HIGH",IF(J13&gt;=6,"MEDIUM","LOW"))))</f>
        <v>LOW</v>
      </c>
      <c r="L13" s="23"/>
      <c r="M13" s="23"/>
      <c r="N13" s="23" t="n">
        <f aca="false">IF(J13="","",MAX(1,J13-IFERROR(M13*2,0)))</f>
        <v>1</v>
      </c>
      <c r="O13" s="23" t="str">
        <f aca="false">IF(N13="","",IF(N13&gt;=16,"CRITICAL",IF(N13&gt;=8,"HIGH",IF(N13&gt;=4,"MEDIUM","LOW"))))</f>
        <v>LOW</v>
      </c>
      <c r="P13" s="23"/>
      <c r="Q13" s="23"/>
      <c r="R13" s="23"/>
      <c r="S13" s="23"/>
      <c r="T13" s="128" t="s">
        <v>1706</v>
      </c>
      <c r="U13" s="23"/>
      <c r="V13" s="23"/>
    </row>
    <row r="14" customFormat="false" ht="45" hidden="false" customHeight="true" outlineLevel="0" collapsed="false">
      <c r="A14" s="47" t="s">
        <v>1724</v>
      </c>
      <c r="B14" s="47" t="s">
        <v>115</v>
      </c>
      <c r="C14" s="32" t="s">
        <v>75</v>
      </c>
      <c r="D14" s="32" t="s">
        <v>1725</v>
      </c>
      <c r="E14" s="32"/>
      <c r="F14" s="32"/>
      <c r="G14" s="32"/>
      <c r="H14" s="32"/>
      <c r="I14" s="32"/>
      <c r="J14" s="32" t="n">
        <f aca="false">H14*I14</f>
        <v>0</v>
      </c>
      <c r="K14" s="32" t="str">
        <f aca="false">IF(J14="","",IF(J14&gt;=20,"CRITICAL",IF(J14&gt;=12,"HIGH",IF(J14&gt;=6,"MEDIUM","LOW"))))</f>
        <v>LOW</v>
      </c>
      <c r="L14" s="32"/>
      <c r="M14" s="32"/>
      <c r="N14" s="32" t="n">
        <f aca="false">IF(J14="","",MAX(1,J14-IFERROR(M14*2,0)))</f>
        <v>1</v>
      </c>
      <c r="O14" s="32" t="str">
        <f aca="false">IF(N14="","",IF(N14&gt;=16,"CRITICAL",IF(N14&gt;=8,"HIGH",IF(N14&gt;=4,"MEDIUM","LOW"))))</f>
        <v>LOW</v>
      </c>
      <c r="P14" s="32"/>
      <c r="Q14" s="32"/>
      <c r="R14" s="32"/>
      <c r="S14" s="32"/>
      <c r="T14" s="128" t="s">
        <v>1706</v>
      </c>
      <c r="U14" s="32"/>
      <c r="V14" s="32"/>
    </row>
    <row r="15" customFormat="false" ht="45" hidden="false" customHeight="true" outlineLevel="0" collapsed="false">
      <c r="A15" s="45" t="s">
        <v>1726</v>
      </c>
      <c r="B15" s="45" t="s">
        <v>119</v>
      </c>
      <c r="C15" s="23" t="s">
        <v>75</v>
      </c>
      <c r="D15" s="23" t="s">
        <v>1727</v>
      </c>
      <c r="E15" s="23"/>
      <c r="F15" s="23"/>
      <c r="G15" s="23"/>
      <c r="H15" s="23"/>
      <c r="I15" s="23"/>
      <c r="J15" s="23" t="n">
        <f aca="false">H15*I15</f>
        <v>0</v>
      </c>
      <c r="K15" s="23" t="str">
        <f aca="false">IF(J15="","",IF(J15&gt;=20,"CRITICAL",IF(J15&gt;=12,"HIGH",IF(J15&gt;=6,"MEDIUM","LOW"))))</f>
        <v>LOW</v>
      </c>
      <c r="L15" s="23"/>
      <c r="M15" s="23"/>
      <c r="N15" s="23" t="n">
        <f aca="false">IF(J15="","",MAX(1,J15-IFERROR(M15*2,0)))</f>
        <v>1</v>
      </c>
      <c r="O15" s="23" t="str">
        <f aca="false">IF(N15="","",IF(N15&gt;=16,"CRITICAL",IF(N15&gt;=8,"HIGH",IF(N15&gt;=4,"MEDIUM","LOW"))))</f>
        <v>LOW</v>
      </c>
      <c r="P15" s="23"/>
      <c r="Q15" s="23"/>
      <c r="R15" s="23"/>
      <c r="S15" s="23"/>
      <c r="T15" s="128" t="s">
        <v>1706</v>
      </c>
      <c r="U15" s="23"/>
      <c r="V15" s="23"/>
    </row>
    <row r="16" customFormat="false" ht="45" hidden="false" customHeight="true" outlineLevel="0" collapsed="false">
      <c r="A16" s="47" t="s">
        <v>1728</v>
      </c>
      <c r="B16" s="47" t="s">
        <v>122</v>
      </c>
      <c r="C16" s="32" t="s">
        <v>75</v>
      </c>
      <c r="D16" s="32" t="s">
        <v>1729</v>
      </c>
      <c r="E16" s="32"/>
      <c r="F16" s="32"/>
      <c r="G16" s="32"/>
      <c r="H16" s="32"/>
      <c r="I16" s="32"/>
      <c r="J16" s="32" t="n">
        <f aca="false">H16*I16</f>
        <v>0</v>
      </c>
      <c r="K16" s="32" t="str">
        <f aca="false">IF(J16="","",IF(J16&gt;=20,"CRITICAL",IF(J16&gt;=12,"HIGH",IF(J16&gt;=6,"MEDIUM","LOW"))))</f>
        <v>LOW</v>
      </c>
      <c r="L16" s="32"/>
      <c r="M16" s="32"/>
      <c r="N16" s="32" t="n">
        <f aca="false">IF(J16="","",MAX(1,J16-IFERROR(M16*2,0)))</f>
        <v>1</v>
      </c>
      <c r="O16" s="32" t="str">
        <f aca="false">IF(N16="","",IF(N16&gt;=16,"CRITICAL",IF(N16&gt;=8,"HIGH",IF(N16&gt;=4,"MEDIUM","LOW"))))</f>
        <v>LOW</v>
      </c>
      <c r="P16" s="32"/>
      <c r="Q16" s="32"/>
      <c r="R16" s="32"/>
      <c r="S16" s="32"/>
      <c r="T16" s="128" t="s">
        <v>1706</v>
      </c>
      <c r="U16" s="32"/>
      <c r="V16" s="32"/>
    </row>
    <row r="17" customFormat="false" ht="45" hidden="false" customHeight="true" outlineLevel="0" collapsed="false">
      <c r="A17" s="45" t="s">
        <v>1730</v>
      </c>
      <c r="B17" s="45" t="s">
        <v>125</v>
      </c>
      <c r="C17" s="23" t="s">
        <v>75</v>
      </c>
      <c r="D17" s="23" t="s">
        <v>1731</v>
      </c>
      <c r="E17" s="23"/>
      <c r="F17" s="23"/>
      <c r="G17" s="23"/>
      <c r="H17" s="23"/>
      <c r="I17" s="23"/>
      <c r="J17" s="23" t="n">
        <f aca="false">H17*I17</f>
        <v>0</v>
      </c>
      <c r="K17" s="23" t="str">
        <f aca="false">IF(J17="","",IF(J17&gt;=20,"CRITICAL",IF(J17&gt;=12,"HIGH",IF(J17&gt;=6,"MEDIUM","LOW"))))</f>
        <v>LOW</v>
      </c>
      <c r="L17" s="23"/>
      <c r="M17" s="23"/>
      <c r="N17" s="23" t="n">
        <f aca="false">IF(J17="","",MAX(1,J17-IFERROR(M17*2,0)))</f>
        <v>1</v>
      </c>
      <c r="O17" s="23" t="str">
        <f aca="false">IF(N17="","",IF(N17&gt;=16,"CRITICAL",IF(N17&gt;=8,"HIGH",IF(N17&gt;=4,"MEDIUM","LOW"))))</f>
        <v>LOW</v>
      </c>
      <c r="P17" s="23"/>
      <c r="Q17" s="23"/>
      <c r="R17" s="23"/>
      <c r="S17" s="23"/>
      <c r="T17" s="128" t="s">
        <v>1706</v>
      </c>
      <c r="U17" s="23"/>
      <c r="V17" s="23"/>
    </row>
    <row r="18" customFormat="false" ht="45" hidden="false" customHeight="true" outlineLevel="0" collapsed="false">
      <c r="A18" s="47" t="s">
        <v>1732</v>
      </c>
      <c r="B18" s="47" t="s">
        <v>128</v>
      </c>
      <c r="C18" s="32" t="s">
        <v>75</v>
      </c>
      <c r="D18" s="32" t="s">
        <v>1733</v>
      </c>
      <c r="E18" s="32"/>
      <c r="F18" s="32"/>
      <c r="G18" s="32"/>
      <c r="H18" s="32"/>
      <c r="I18" s="32"/>
      <c r="J18" s="32" t="n">
        <f aca="false">H18*I18</f>
        <v>0</v>
      </c>
      <c r="K18" s="32" t="str">
        <f aca="false">IF(J18="","",IF(J18&gt;=20,"CRITICAL",IF(J18&gt;=12,"HIGH",IF(J18&gt;=6,"MEDIUM","LOW"))))</f>
        <v>LOW</v>
      </c>
      <c r="L18" s="32"/>
      <c r="M18" s="32"/>
      <c r="N18" s="32" t="n">
        <f aca="false">IF(J18="","",MAX(1,J18-IFERROR(M18*2,0)))</f>
        <v>1</v>
      </c>
      <c r="O18" s="32" t="str">
        <f aca="false">IF(N18="","",IF(N18&gt;=16,"CRITICAL",IF(N18&gt;=8,"HIGH",IF(N18&gt;=4,"MEDIUM","LOW"))))</f>
        <v>LOW</v>
      </c>
      <c r="P18" s="32"/>
      <c r="Q18" s="32"/>
      <c r="R18" s="32"/>
      <c r="S18" s="32"/>
      <c r="T18" s="128" t="s">
        <v>1706</v>
      </c>
      <c r="U18" s="32"/>
      <c r="V18" s="32"/>
    </row>
    <row r="19" customFormat="false" ht="45" hidden="false" customHeight="true" outlineLevel="0" collapsed="false">
      <c r="A19" s="45" t="s">
        <v>1734</v>
      </c>
      <c r="B19" s="45" t="s">
        <v>131</v>
      </c>
      <c r="C19" s="23" t="s">
        <v>75</v>
      </c>
      <c r="D19" s="23" t="s">
        <v>1735</v>
      </c>
      <c r="E19" s="23"/>
      <c r="F19" s="23"/>
      <c r="G19" s="23"/>
      <c r="H19" s="23"/>
      <c r="I19" s="23"/>
      <c r="J19" s="23" t="n">
        <f aca="false">H19*I19</f>
        <v>0</v>
      </c>
      <c r="K19" s="23" t="str">
        <f aca="false">IF(J19="","",IF(J19&gt;=20,"CRITICAL",IF(J19&gt;=12,"HIGH",IF(J19&gt;=6,"MEDIUM","LOW"))))</f>
        <v>LOW</v>
      </c>
      <c r="L19" s="23"/>
      <c r="M19" s="23"/>
      <c r="N19" s="23" t="n">
        <f aca="false">IF(J19="","",MAX(1,J19-IFERROR(M19*2,0)))</f>
        <v>1</v>
      </c>
      <c r="O19" s="23" t="str">
        <f aca="false">IF(N19="","",IF(N19&gt;=16,"CRITICAL",IF(N19&gt;=8,"HIGH",IF(N19&gt;=4,"MEDIUM","LOW"))))</f>
        <v>LOW</v>
      </c>
      <c r="P19" s="23"/>
      <c r="Q19" s="23"/>
      <c r="R19" s="23"/>
      <c r="S19" s="23"/>
      <c r="T19" s="128" t="s">
        <v>1706</v>
      </c>
      <c r="U19" s="23"/>
      <c r="V19" s="23"/>
    </row>
    <row r="20" customFormat="false" ht="45" hidden="false" customHeight="true" outlineLevel="0" collapsed="false">
      <c r="A20" s="47" t="s">
        <v>1736</v>
      </c>
      <c r="B20" s="47" t="s">
        <v>134</v>
      </c>
      <c r="C20" s="32" t="s">
        <v>75</v>
      </c>
      <c r="D20" s="32" t="s">
        <v>1737</v>
      </c>
      <c r="E20" s="32"/>
      <c r="F20" s="32"/>
      <c r="G20" s="32"/>
      <c r="H20" s="32"/>
      <c r="I20" s="32"/>
      <c r="J20" s="32" t="n">
        <f aca="false">H20*I20</f>
        <v>0</v>
      </c>
      <c r="K20" s="32" t="str">
        <f aca="false">IF(J20="","",IF(J20&gt;=20,"CRITICAL",IF(J20&gt;=12,"HIGH",IF(J20&gt;=6,"MEDIUM","LOW"))))</f>
        <v>LOW</v>
      </c>
      <c r="L20" s="32"/>
      <c r="M20" s="32"/>
      <c r="N20" s="32" t="n">
        <f aca="false">IF(J20="","",MAX(1,J20-IFERROR(M20*2,0)))</f>
        <v>1</v>
      </c>
      <c r="O20" s="32" t="str">
        <f aca="false">IF(N20="","",IF(N20&gt;=16,"CRITICAL",IF(N20&gt;=8,"HIGH",IF(N20&gt;=4,"MEDIUM","LOW"))))</f>
        <v>LOW</v>
      </c>
      <c r="P20" s="32"/>
      <c r="Q20" s="32"/>
      <c r="R20" s="32"/>
      <c r="S20" s="32"/>
      <c r="T20" s="128" t="s">
        <v>1706</v>
      </c>
      <c r="U20" s="32"/>
      <c r="V20" s="32"/>
    </row>
    <row r="21" customFormat="false" ht="45" hidden="false" customHeight="true" outlineLevel="0" collapsed="false">
      <c r="A21" s="45" t="s">
        <v>1738</v>
      </c>
      <c r="B21" s="45" t="s">
        <v>137</v>
      </c>
      <c r="C21" s="23" t="s">
        <v>75</v>
      </c>
      <c r="D21" s="23" t="s">
        <v>138</v>
      </c>
      <c r="E21" s="23"/>
      <c r="F21" s="23"/>
      <c r="G21" s="23"/>
      <c r="H21" s="23"/>
      <c r="I21" s="23"/>
      <c r="J21" s="23" t="n">
        <f aca="false">H21*I21</f>
        <v>0</v>
      </c>
      <c r="K21" s="23" t="str">
        <f aca="false">IF(J21="","",IF(J21&gt;=20,"CRITICAL",IF(J21&gt;=12,"HIGH",IF(J21&gt;=6,"MEDIUM","LOW"))))</f>
        <v>LOW</v>
      </c>
      <c r="L21" s="23"/>
      <c r="M21" s="23"/>
      <c r="N21" s="23" t="n">
        <f aca="false">IF(J21="","",MAX(1,J21-IFERROR(M21*2,0)))</f>
        <v>1</v>
      </c>
      <c r="O21" s="23" t="str">
        <f aca="false">IF(N21="","",IF(N21&gt;=16,"CRITICAL",IF(N21&gt;=8,"HIGH",IF(N21&gt;=4,"MEDIUM","LOW"))))</f>
        <v>LOW</v>
      </c>
      <c r="P21" s="23"/>
      <c r="Q21" s="23"/>
      <c r="R21" s="23"/>
      <c r="S21" s="23"/>
      <c r="T21" s="128" t="s">
        <v>1706</v>
      </c>
      <c r="U21" s="23"/>
      <c r="V21" s="23"/>
    </row>
    <row r="22" customFormat="false" ht="45" hidden="false" customHeight="true" outlineLevel="0" collapsed="false">
      <c r="A22" s="47" t="s">
        <v>1739</v>
      </c>
      <c r="B22" s="47" t="s">
        <v>140</v>
      </c>
      <c r="C22" s="32" t="s">
        <v>75</v>
      </c>
      <c r="D22" s="32" t="s">
        <v>1740</v>
      </c>
      <c r="E22" s="32"/>
      <c r="F22" s="32"/>
      <c r="G22" s="32"/>
      <c r="H22" s="32"/>
      <c r="I22" s="32"/>
      <c r="J22" s="32" t="n">
        <f aca="false">H22*I22</f>
        <v>0</v>
      </c>
      <c r="K22" s="32" t="str">
        <f aca="false">IF(J22="","",IF(J22&gt;=20,"CRITICAL",IF(J22&gt;=12,"HIGH",IF(J22&gt;=6,"MEDIUM","LOW"))))</f>
        <v>LOW</v>
      </c>
      <c r="L22" s="32"/>
      <c r="M22" s="32"/>
      <c r="N22" s="32" t="n">
        <f aca="false">IF(J22="","",MAX(1,J22-IFERROR(M22*2,0)))</f>
        <v>1</v>
      </c>
      <c r="O22" s="32" t="str">
        <f aca="false">IF(N22="","",IF(N22&gt;=16,"CRITICAL",IF(N22&gt;=8,"HIGH",IF(N22&gt;=4,"MEDIUM","LOW"))))</f>
        <v>LOW</v>
      </c>
      <c r="P22" s="32"/>
      <c r="Q22" s="32"/>
      <c r="R22" s="32"/>
      <c r="S22" s="32"/>
      <c r="T22" s="128" t="s">
        <v>1706</v>
      </c>
      <c r="U22" s="32"/>
      <c r="V22" s="32"/>
    </row>
    <row r="23" customFormat="false" ht="45" hidden="false" customHeight="true" outlineLevel="0" collapsed="false">
      <c r="A23" s="45" t="s">
        <v>1741</v>
      </c>
      <c r="B23" s="45" t="s">
        <v>143</v>
      </c>
      <c r="C23" s="23" t="s">
        <v>75</v>
      </c>
      <c r="D23" s="23" t="s">
        <v>1742</v>
      </c>
      <c r="E23" s="23"/>
      <c r="F23" s="23"/>
      <c r="G23" s="23"/>
      <c r="H23" s="23"/>
      <c r="I23" s="23"/>
      <c r="J23" s="23" t="n">
        <f aca="false">H23*I23</f>
        <v>0</v>
      </c>
      <c r="K23" s="23" t="str">
        <f aca="false">IF(J23="","",IF(J23&gt;=20,"CRITICAL",IF(J23&gt;=12,"HIGH",IF(J23&gt;=6,"MEDIUM","LOW"))))</f>
        <v>LOW</v>
      </c>
      <c r="L23" s="23"/>
      <c r="M23" s="23"/>
      <c r="N23" s="23" t="n">
        <f aca="false">IF(J23="","",MAX(1,J23-IFERROR(M23*2,0)))</f>
        <v>1</v>
      </c>
      <c r="O23" s="23" t="str">
        <f aca="false">IF(N23="","",IF(N23&gt;=16,"CRITICAL",IF(N23&gt;=8,"HIGH",IF(N23&gt;=4,"MEDIUM","LOW"))))</f>
        <v>LOW</v>
      </c>
      <c r="P23" s="23"/>
      <c r="Q23" s="23"/>
      <c r="R23" s="23"/>
      <c r="S23" s="23"/>
      <c r="T23" s="128" t="s">
        <v>1706</v>
      </c>
      <c r="U23" s="23"/>
      <c r="V23" s="23"/>
    </row>
    <row r="24" customFormat="false" ht="45" hidden="false" customHeight="true" outlineLevel="0" collapsed="false">
      <c r="A24" s="47" t="s">
        <v>1743</v>
      </c>
      <c r="B24" s="47" t="s">
        <v>146</v>
      </c>
      <c r="C24" s="32" t="s">
        <v>75</v>
      </c>
      <c r="D24" s="32" t="s">
        <v>1744</v>
      </c>
      <c r="E24" s="32"/>
      <c r="F24" s="32"/>
      <c r="G24" s="32"/>
      <c r="H24" s="32"/>
      <c r="I24" s="32"/>
      <c r="J24" s="32" t="n">
        <f aca="false">H24*I24</f>
        <v>0</v>
      </c>
      <c r="K24" s="32" t="str">
        <f aca="false">IF(J24="","",IF(J24&gt;=20,"CRITICAL",IF(J24&gt;=12,"HIGH",IF(J24&gt;=6,"MEDIUM","LOW"))))</f>
        <v>LOW</v>
      </c>
      <c r="L24" s="32"/>
      <c r="M24" s="32"/>
      <c r="N24" s="32" t="n">
        <f aca="false">IF(J24="","",MAX(1,J24-IFERROR(M24*2,0)))</f>
        <v>1</v>
      </c>
      <c r="O24" s="32" t="str">
        <f aca="false">IF(N24="","",IF(N24&gt;=16,"CRITICAL",IF(N24&gt;=8,"HIGH",IF(N24&gt;=4,"MEDIUM","LOW"))))</f>
        <v>LOW</v>
      </c>
      <c r="P24" s="32"/>
      <c r="Q24" s="32"/>
      <c r="R24" s="32"/>
      <c r="S24" s="32"/>
      <c r="T24" s="128" t="s">
        <v>1706</v>
      </c>
      <c r="U24" s="32"/>
      <c r="V24" s="32"/>
    </row>
    <row r="25" customFormat="false" ht="45" hidden="false" customHeight="true" outlineLevel="0" collapsed="false">
      <c r="A25" s="45" t="s">
        <v>1745</v>
      </c>
      <c r="B25" s="45" t="s">
        <v>149</v>
      </c>
      <c r="C25" s="23" t="s">
        <v>75</v>
      </c>
      <c r="D25" s="23" t="s">
        <v>1746</v>
      </c>
      <c r="E25" s="23"/>
      <c r="F25" s="23"/>
      <c r="G25" s="23"/>
      <c r="H25" s="23"/>
      <c r="I25" s="23"/>
      <c r="J25" s="23" t="n">
        <f aca="false">H25*I25</f>
        <v>0</v>
      </c>
      <c r="K25" s="23" t="str">
        <f aca="false">IF(J25="","",IF(J25&gt;=20,"CRITICAL",IF(J25&gt;=12,"HIGH",IF(J25&gt;=6,"MEDIUM","LOW"))))</f>
        <v>LOW</v>
      </c>
      <c r="L25" s="23"/>
      <c r="M25" s="23"/>
      <c r="N25" s="23" t="n">
        <f aca="false">IF(J25="","",MAX(1,J25-IFERROR(M25*2,0)))</f>
        <v>1</v>
      </c>
      <c r="O25" s="23" t="str">
        <f aca="false">IF(N25="","",IF(N25&gt;=16,"CRITICAL",IF(N25&gt;=8,"HIGH",IF(N25&gt;=4,"MEDIUM","LOW"))))</f>
        <v>LOW</v>
      </c>
      <c r="P25" s="23"/>
      <c r="Q25" s="23"/>
      <c r="R25" s="23"/>
      <c r="S25" s="23"/>
      <c r="T25" s="128" t="s">
        <v>1706</v>
      </c>
      <c r="U25" s="23"/>
      <c r="V25" s="23"/>
    </row>
    <row r="26" customFormat="false" ht="45" hidden="false" customHeight="true" outlineLevel="0" collapsed="false">
      <c r="A26" s="47" t="s">
        <v>1747</v>
      </c>
      <c r="B26" s="47" t="s">
        <v>152</v>
      </c>
      <c r="C26" s="32" t="s">
        <v>75</v>
      </c>
      <c r="D26" s="32" t="s">
        <v>1748</v>
      </c>
      <c r="E26" s="32"/>
      <c r="F26" s="32"/>
      <c r="G26" s="32"/>
      <c r="H26" s="32"/>
      <c r="I26" s="32"/>
      <c r="J26" s="32" t="n">
        <f aca="false">H26*I26</f>
        <v>0</v>
      </c>
      <c r="K26" s="32" t="str">
        <f aca="false">IF(J26="","",IF(J26&gt;=20,"CRITICAL",IF(J26&gt;=12,"HIGH",IF(J26&gt;=6,"MEDIUM","LOW"))))</f>
        <v>LOW</v>
      </c>
      <c r="L26" s="32"/>
      <c r="M26" s="32"/>
      <c r="N26" s="32" t="n">
        <f aca="false">IF(J26="","",MAX(1,J26-IFERROR(M26*2,0)))</f>
        <v>1</v>
      </c>
      <c r="O26" s="32" t="str">
        <f aca="false">IF(N26="","",IF(N26&gt;=16,"CRITICAL",IF(N26&gt;=8,"HIGH",IF(N26&gt;=4,"MEDIUM","LOW"))))</f>
        <v>LOW</v>
      </c>
      <c r="P26" s="32"/>
      <c r="Q26" s="32"/>
      <c r="R26" s="32"/>
      <c r="S26" s="32"/>
      <c r="T26" s="128" t="s">
        <v>1706</v>
      </c>
      <c r="U26" s="32"/>
      <c r="V26" s="32"/>
    </row>
    <row r="27" customFormat="false" ht="45" hidden="false" customHeight="true" outlineLevel="0" collapsed="false">
      <c r="A27" s="45" t="s">
        <v>1749</v>
      </c>
      <c r="B27" s="45" t="s">
        <v>155</v>
      </c>
      <c r="C27" s="23" t="s">
        <v>75</v>
      </c>
      <c r="D27" s="23" t="s">
        <v>1750</v>
      </c>
      <c r="E27" s="23"/>
      <c r="F27" s="23"/>
      <c r="G27" s="23"/>
      <c r="H27" s="23"/>
      <c r="I27" s="23"/>
      <c r="J27" s="23" t="n">
        <f aca="false">H27*I27</f>
        <v>0</v>
      </c>
      <c r="K27" s="23" t="str">
        <f aca="false">IF(J27="","",IF(J27&gt;=20,"CRITICAL",IF(J27&gt;=12,"HIGH",IF(J27&gt;=6,"MEDIUM","LOW"))))</f>
        <v>LOW</v>
      </c>
      <c r="L27" s="23"/>
      <c r="M27" s="23"/>
      <c r="N27" s="23" t="n">
        <f aca="false">IF(J27="","",MAX(1,J27-IFERROR(M27*2,0)))</f>
        <v>1</v>
      </c>
      <c r="O27" s="23" t="str">
        <f aca="false">IF(N27="","",IF(N27&gt;=16,"CRITICAL",IF(N27&gt;=8,"HIGH",IF(N27&gt;=4,"MEDIUM","LOW"))))</f>
        <v>LOW</v>
      </c>
      <c r="P27" s="23"/>
      <c r="Q27" s="23"/>
      <c r="R27" s="23"/>
      <c r="S27" s="23"/>
      <c r="T27" s="128" t="s">
        <v>1706</v>
      </c>
      <c r="U27" s="23"/>
      <c r="V27" s="23"/>
    </row>
    <row r="28" customFormat="false" ht="45" hidden="false" customHeight="true" outlineLevel="0" collapsed="false">
      <c r="A28" s="47" t="s">
        <v>1751</v>
      </c>
      <c r="B28" s="110" t="s">
        <v>159</v>
      </c>
      <c r="C28" s="32" t="s">
        <v>158</v>
      </c>
      <c r="D28" s="32" t="s">
        <v>1752</v>
      </c>
      <c r="E28" s="32"/>
      <c r="F28" s="32"/>
      <c r="G28" s="32"/>
      <c r="H28" s="32"/>
      <c r="I28" s="32"/>
      <c r="J28" s="32" t="n">
        <f aca="false">H28*I28</f>
        <v>0</v>
      </c>
      <c r="K28" s="32" t="str">
        <f aca="false">IF(J28="","",IF(J28&gt;=20,"CRITICAL",IF(J28&gt;=12,"HIGH",IF(J28&gt;=6,"MEDIUM","LOW"))))</f>
        <v>LOW</v>
      </c>
      <c r="L28" s="32"/>
      <c r="M28" s="32"/>
      <c r="N28" s="32" t="n">
        <f aca="false">IF(J28="","",MAX(1,J28-IFERROR(M28*2,0)))</f>
        <v>1</v>
      </c>
      <c r="O28" s="32" t="str">
        <f aca="false">IF(N28="","",IF(N28&gt;=16,"CRITICAL",IF(N28&gt;=8,"HIGH",IF(N28&gt;=4,"MEDIUM","LOW"))))</f>
        <v>LOW</v>
      </c>
      <c r="P28" s="32"/>
      <c r="Q28" s="32"/>
      <c r="R28" s="32"/>
      <c r="S28" s="32"/>
      <c r="T28" s="128" t="s">
        <v>1706</v>
      </c>
      <c r="U28" s="32"/>
      <c r="V28" s="32"/>
    </row>
    <row r="29" customFormat="false" ht="45" hidden="false" customHeight="true" outlineLevel="0" collapsed="false">
      <c r="A29" s="45" t="s">
        <v>1753</v>
      </c>
      <c r="B29" s="111" t="s">
        <v>163</v>
      </c>
      <c r="C29" s="23" t="s">
        <v>158</v>
      </c>
      <c r="D29" s="23" t="s">
        <v>1708</v>
      </c>
      <c r="E29" s="23"/>
      <c r="F29" s="23"/>
      <c r="G29" s="23"/>
      <c r="H29" s="23"/>
      <c r="I29" s="23"/>
      <c r="J29" s="23" t="n">
        <f aca="false">H29*I29</f>
        <v>0</v>
      </c>
      <c r="K29" s="23" t="str">
        <f aca="false">IF(J29="","",IF(J29&gt;=20,"CRITICAL",IF(J29&gt;=12,"HIGH",IF(J29&gt;=6,"MEDIUM","LOW"))))</f>
        <v>LOW</v>
      </c>
      <c r="L29" s="23"/>
      <c r="M29" s="23"/>
      <c r="N29" s="23" t="n">
        <f aca="false">IF(J29="","",MAX(1,J29-IFERROR(M29*2,0)))</f>
        <v>1</v>
      </c>
      <c r="O29" s="23" t="str">
        <f aca="false">IF(N29="","",IF(N29&gt;=16,"CRITICAL",IF(N29&gt;=8,"HIGH",IF(N29&gt;=4,"MEDIUM","LOW"))))</f>
        <v>LOW</v>
      </c>
      <c r="P29" s="23"/>
      <c r="Q29" s="23"/>
      <c r="R29" s="23"/>
      <c r="S29" s="23"/>
      <c r="T29" s="128" t="s">
        <v>1706</v>
      </c>
      <c r="U29" s="23"/>
      <c r="V29" s="23"/>
    </row>
    <row r="30" customFormat="false" ht="45" hidden="false" customHeight="true" outlineLevel="0" collapsed="false">
      <c r="A30" s="47" t="s">
        <v>1754</v>
      </c>
      <c r="B30" s="110" t="s">
        <v>166</v>
      </c>
      <c r="C30" s="32" t="s">
        <v>158</v>
      </c>
      <c r="D30" s="32" t="s">
        <v>1755</v>
      </c>
      <c r="E30" s="32"/>
      <c r="F30" s="32"/>
      <c r="G30" s="32"/>
      <c r="H30" s="32"/>
      <c r="I30" s="32"/>
      <c r="J30" s="32" t="n">
        <f aca="false">H30*I30</f>
        <v>0</v>
      </c>
      <c r="K30" s="32" t="str">
        <f aca="false">IF(J30="","",IF(J30&gt;=20,"CRITICAL",IF(J30&gt;=12,"HIGH",IF(J30&gt;=6,"MEDIUM","LOW"))))</f>
        <v>LOW</v>
      </c>
      <c r="L30" s="32"/>
      <c r="M30" s="32"/>
      <c r="N30" s="32" t="n">
        <f aca="false">IF(J30="","",MAX(1,J30-IFERROR(M30*2,0)))</f>
        <v>1</v>
      </c>
      <c r="O30" s="32" t="str">
        <f aca="false">IF(N30="","",IF(N30&gt;=16,"CRITICAL",IF(N30&gt;=8,"HIGH",IF(N30&gt;=4,"MEDIUM","LOW"))))</f>
        <v>LOW</v>
      </c>
      <c r="P30" s="32"/>
      <c r="Q30" s="32"/>
      <c r="R30" s="32"/>
      <c r="S30" s="32"/>
      <c r="T30" s="128" t="s">
        <v>1706</v>
      </c>
      <c r="U30" s="32"/>
      <c r="V30" s="32"/>
    </row>
    <row r="31" customFormat="false" ht="45" hidden="false" customHeight="true" outlineLevel="0" collapsed="false">
      <c r="A31" s="45" t="s">
        <v>1756</v>
      </c>
      <c r="B31" s="111" t="s">
        <v>169</v>
      </c>
      <c r="C31" s="23" t="s">
        <v>158</v>
      </c>
      <c r="D31" s="23" t="s">
        <v>170</v>
      </c>
      <c r="E31" s="23"/>
      <c r="F31" s="23"/>
      <c r="G31" s="23"/>
      <c r="H31" s="23"/>
      <c r="I31" s="23"/>
      <c r="J31" s="23" t="n">
        <f aca="false">H31*I31</f>
        <v>0</v>
      </c>
      <c r="K31" s="23" t="str">
        <f aca="false">IF(J31="","",IF(J31&gt;=20,"CRITICAL",IF(J31&gt;=12,"HIGH",IF(J31&gt;=6,"MEDIUM","LOW"))))</f>
        <v>LOW</v>
      </c>
      <c r="L31" s="23"/>
      <c r="M31" s="23"/>
      <c r="N31" s="23" t="n">
        <f aca="false">IF(J31="","",MAX(1,J31-IFERROR(M31*2,0)))</f>
        <v>1</v>
      </c>
      <c r="O31" s="23" t="str">
        <f aca="false">IF(N31="","",IF(N31&gt;=16,"CRITICAL",IF(N31&gt;=8,"HIGH",IF(N31&gt;=4,"MEDIUM","LOW"))))</f>
        <v>LOW</v>
      </c>
      <c r="P31" s="23"/>
      <c r="Q31" s="23"/>
      <c r="R31" s="23"/>
      <c r="S31" s="23"/>
      <c r="T31" s="128" t="s">
        <v>1706</v>
      </c>
      <c r="U31" s="23"/>
      <c r="V31" s="23"/>
    </row>
    <row r="32" customFormat="false" ht="45" hidden="false" customHeight="true" outlineLevel="0" collapsed="false">
      <c r="A32" s="47" t="s">
        <v>1757</v>
      </c>
      <c r="B32" s="110" t="s">
        <v>172</v>
      </c>
      <c r="C32" s="32" t="s">
        <v>158</v>
      </c>
      <c r="D32" s="32" t="s">
        <v>1758</v>
      </c>
      <c r="E32" s="32"/>
      <c r="F32" s="32"/>
      <c r="G32" s="32"/>
      <c r="H32" s="32"/>
      <c r="I32" s="32"/>
      <c r="J32" s="32" t="n">
        <f aca="false">H32*I32</f>
        <v>0</v>
      </c>
      <c r="K32" s="32" t="str">
        <f aca="false">IF(J32="","",IF(J32&gt;=20,"CRITICAL",IF(J32&gt;=12,"HIGH",IF(J32&gt;=6,"MEDIUM","LOW"))))</f>
        <v>LOW</v>
      </c>
      <c r="L32" s="32"/>
      <c r="M32" s="32"/>
      <c r="N32" s="32" t="n">
        <f aca="false">IF(J32="","",MAX(1,J32-IFERROR(M32*2,0)))</f>
        <v>1</v>
      </c>
      <c r="O32" s="32" t="str">
        <f aca="false">IF(N32="","",IF(N32&gt;=16,"CRITICAL",IF(N32&gt;=8,"HIGH",IF(N32&gt;=4,"MEDIUM","LOW"))))</f>
        <v>LOW</v>
      </c>
      <c r="P32" s="32"/>
      <c r="Q32" s="32"/>
      <c r="R32" s="32"/>
      <c r="S32" s="32"/>
      <c r="T32" s="128" t="s">
        <v>1706</v>
      </c>
      <c r="U32" s="32"/>
      <c r="V32" s="32"/>
    </row>
    <row r="33" customFormat="false" ht="45" hidden="false" customHeight="true" outlineLevel="0" collapsed="false">
      <c r="A33" s="45" t="s">
        <v>1759</v>
      </c>
      <c r="B33" s="111" t="s">
        <v>175</v>
      </c>
      <c r="C33" s="23" t="s">
        <v>158</v>
      </c>
      <c r="D33" s="23" t="s">
        <v>1760</v>
      </c>
      <c r="E33" s="23"/>
      <c r="F33" s="23"/>
      <c r="G33" s="23"/>
      <c r="H33" s="23"/>
      <c r="I33" s="23"/>
      <c r="J33" s="23" t="n">
        <f aca="false">H33*I33</f>
        <v>0</v>
      </c>
      <c r="K33" s="23" t="str">
        <f aca="false">IF(J33="","",IF(J33&gt;=20,"CRITICAL",IF(J33&gt;=12,"HIGH",IF(J33&gt;=6,"MEDIUM","LOW"))))</f>
        <v>LOW</v>
      </c>
      <c r="L33" s="23"/>
      <c r="M33" s="23"/>
      <c r="N33" s="23" t="n">
        <f aca="false">IF(J33="","",MAX(1,J33-IFERROR(M33*2,0)))</f>
        <v>1</v>
      </c>
      <c r="O33" s="23" t="str">
        <f aca="false">IF(N33="","",IF(N33&gt;=16,"CRITICAL",IF(N33&gt;=8,"HIGH",IF(N33&gt;=4,"MEDIUM","LOW"))))</f>
        <v>LOW</v>
      </c>
      <c r="P33" s="23"/>
      <c r="Q33" s="23"/>
      <c r="R33" s="23"/>
      <c r="S33" s="23"/>
      <c r="T33" s="128" t="s">
        <v>1706</v>
      </c>
      <c r="U33" s="23"/>
      <c r="V33" s="23"/>
    </row>
    <row r="34" customFormat="false" ht="45" hidden="false" customHeight="true" outlineLevel="0" collapsed="false">
      <c r="A34" s="47" t="s">
        <v>1761</v>
      </c>
      <c r="B34" s="110" t="s">
        <v>179</v>
      </c>
      <c r="C34" s="32" t="s">
        <v>158</v>
      </c>
      <c r="D34" s="32" t="s">
        <v>1762</v>
      </c>
      <c r="E34" s="32"/>
      <c r="F34" s="32"/>
      <c r="G34" s="32"/>
      <c r="H34" s="32"/>
      <c r="I34" s="32"/>
      <c r="J34" s="32" t="n">
        <f aca="false">H34*I34</f>
        <v>0</v>
      </c>
      <c r="K34" s="32" t="str">
        <f aca="false">IF(J34="","",IF(J34&gt;=20,"CRITICAL",IF(J34&gt;=12,"HIGH",IF(J34&gt;=6,"MEDIUM","LOW"))))</f>
        <v>LOW</v>
      </c>
      <c r="L34" s="32"/>
      <c r="M34" s="32"/>
      <c r="N34" s="32" t="n">
        <f aca="false">IF(J34="","",MAX(1,J34-IFERROR(M34*2,0)))</f>
        <v>1</v>
      </c>
      <c r="O34" s="32" t="str">
        <f aca="false">IF(N34="","",IF(N34&gt;=16,"CRITICAL",IF(N34&gt;=8,"HIGH",IF(N34&gt;=4,"MEDIUM","LOW"))))</f>
        <v>LOW</v>
      </c>
      <c r="P34" s="32"/>
      <c r="Q34" s="32"/>
      <c r="R34" s="32"/>
      <c r="S34" s="32"/>
      <c r="T34" s="128" t="s">
        <v>1706</v>
      </c>
      <c r="U34" s="32"/>
      <c r="V34" s="32"/>
    </row>
    <row r="35" customFormat="false" ht="45" hidden="false" customHeight="true" outlineLevel="0" collapsed="false">
      <c r="A35" s="45" t="s">
        <v>1763</v>
      </c>
      <c r="B35" s="111" t="s">
        <v>182</v>
      </c>
      <c r="C35" s="23" t="s">
        <v>158</v>
      </c>
      <c r="D35" s="23" t="s">
        <v>1764</v>
      </c>
      <c r="E35" s="23"/>
      <c r="F35" s="23"/>
      <c r="G35" s="23"/>
      <c r="H35" s="23"/>
      <c r="I35" s="23"/>
      <c r="J35" s="23" t="n">
        <f aca="false">H35*I35</f>
        <v>0</v>
      </c>
      <c r="K35" s="23" t="str">
        <f aca="false">IF(J35="","",IF(J35&gt;=20,"CRITICAL",IF(J35&gt;=12,"HIGH",IF(J35&gt;=6,"MEDIUM","LOW"))))</f>
        <v>LOW</v>
      </c>
      <c r="L35" s="23"/>
      <c r="M35" s="23"/>
      <c r="N35" s="23" t="n">
        <f aca="false">IF(J35="","",MAX(1,J35-IFERROR(M35*2,0)))</f>
        <v>1</v>
      </c>
      <c r="O35" s="23" t="str">
        <f aca="false">IF(N35="","",IF(N35&gt;=16,"CRITICAL",IF(N35&gt;=8,"HIGH",IF(N35&gt;=4,"MEDIUM","LOW"))))</f>
        <v>LOW</v>
      </c>
      <c r="P35" s="23"/>
      <c r="Q35" s="23"/>
      <c r="R35" s="23"/>
      <c r="S35" s="23"/>
      <c r="T35" s="128" t="s">
        <v>1706</v>
      </c>
      <c r="U35" s="23"/>
      <c r="V35" s="23"/>
    </row>
    <row r="36" customFormat="false" ht="45" hidden="false" customHeight="true" outlineLevel="0" collapsed="false">
      <c r="A36" s="47" t="s">
        <v>1765</v>
      </c>
      <c r="B36" s="110" t="s">
        <v>185</v>
      </c>
      <c r="C36" s="32" t="s">
        <v>158</v>
      </c>
      <c r="D36" s="32" t="s">
        <v>1766</v>
      </c>
      <c r="E36" s="32"/>
      <c r="F36" s="32"/>
      <c r="G36" s="32"/>
      <c r="H36" s="32"/>
      <c r="I36" s="32"/>
      <c r="J36" s="32" t="n">
        <f aca="false">H36*I36</f>
        <v>0</v>
      </c>
      <c r="K36" s="32" t="str">
        <f aca="false">IF(J36="","",IF(J36&gt;=20,"CRITICAL",IF(J36&gt;=12,"HIGH",IF(J36&gt;=6,"MEDIUM","LOW"))))</f>
        <v>LOW</v>
      </c>
      <c r="L36" s="32"/>
      <c r="M36" s="32"/>
      <c r="N36" s="32" t="n">
        <f aca="false">IF(J36="","",MAX(1,J36-IFERROR(M36*2,0)))</f>
        <v>1</v>
      </c>
      <c r="O36" s="32" t="str">
        <f aca="false">IF(N36="","",IF(N36&gt;=16,"CRITICAL",IF(N36&gt;=8,"HIGH",IF(N36&gt;=4,"MEDIUM","LOW"))))</f>
        <v>LOW</v>
      </c>
      <c r="P36" s="32"/>
      <c r="Q36" s="32"/>
      <c r="R36" s="32"/>
      <c r="S36" s="32"/>
      <c r="T36" s="128" t="s">
        <v>1706</v>
      </c>
      <c r="U36" s="32"/>
      <c r="V36" s="32"/>
    </row>
    <row r="37" customFormat="false" ht="45" hidden="false" customHeight="true" outlineLevel="0" collapsed="false">
      <c r="A37" s="45" t="s">
        <v>1767</v>
      </c>
      <c r="B37" s="111" t="s">
        <v>188</v>
      </c>
      <c r="C37" s="23" t="s">
        <v>158</v>
      </c>
      <c r="D37" s="23" t="s">
        <v>189</v>
      </c>
      <c r="E37" s="23"/>
      <c r="F37" s="23"/>
      <c r="G37" s="23"/>
      <c r="H37" s="23"/>
      <c r="I37" s="23"/>
      <c r="J37" s="23" t="n">
        <f aca="false">H37*I37</f>
        <v>0</v>
      </c>
      <c r="K37" s="23" t="str">
        <f aca="false">IF(J37="","",IF(J37&gt;=20,"CRITICAL",IF(J37&gt;=12,"HIGH",IF(J37&gt;=6,"MEDIUM","LOW"))))</f>
        <v>LOW</v>
      </c>
      <c r="L37" s="23"/>
      <c r="M37" s="23"/>
      <c r="N37" s="23" t="n">
        <f aca="false">IF(J37="","",MAX(1,J37-IFERROR(M37*2,0)))</f>
        <v>1</v>
      </c>
      <c r="O37" s="23" t="str">
        <f aca="false">IF(N37="","",IF(N37&gt;=16,"CRITICAL",IF(N37&gt;=8,"HIGH",IF(N37&gt;=4,"MEDIUM","LOW"))))</f>
        <v>LOW</v>
      </c>
      <c r="P37" s="23"/>
      <c r="Q37" s="23"/>
      <c r="R37" s="23"/>
      <c r="S37" s="23"/>
      <c r="T37" s="128" t="s">
        <v>1706</v>
      </c>
      <c r="U37" s="23"/>
      <c r="V37" s="23"/>
    </row>
    <row r="38" customFormat="false" ht="45" hidden="false" customHeight="true" outlineLevel="0" collapsed="false">
      <c r="A38" s="47" t="s">
        <v>1768</v>
      </c>
      <c r="B38" s="110" t="s">
        <v>191</v>
      </c>
      <c r="C38" s="32" t="s">
        <v>158</v>
      </c>
      <c r="D38" s="32" t="s">
        <v>1769</v>
      </c>
      <c r="E38" s="32"/>
      <c r="F38" s="32"/>
      <c r="G38" s="32"/>
      <c r="H38" s="32"/>
      <c r="I38" s="32"/>
      <c r="J38" s="32" t="n">
        <f aca="false">H38*I38</f>
        <v>0</v>
      </c>
      <c r="K38" s="32" t="str">
        <f aca="false">IF(J38="","",IF(J38&gt;=20,"CRITICAL",IF(J38&gt;=12,"HIGH",IF(J38&gt;=6,"MEDIUM","LOW"))))</f>
        <v>LOW</v>
      </c>
      <c r="L38" s="32"/>
      <c r="M38" s="32"/>
      <c r="N38" s="32" t="n">
        <f aca="false">IF(J38="","",MAX(1,J38-IFERROR(M38*2,0)))</f>
        <v>1</v>
      </c>
      <c r="O38" s="32" t="str">
        <f aca="false">IF(N38="","",IF(N38&gt;=16,"CRITICAL",IF(N38&gt;=8,"HIGH",IF(N38&gt;=4,"MEDIUM","LOW"))))</f>
        <v>LOW</v>
      </c>
      <c r="P38" s="32"/>
      <c r="Q38" s="32"/>
      <c r="R38" s="32"/>
      <c r="S38" s="32"/>
      <c r="T38" s="128" t="s">
        <v>1706</v>
      </c>
      <c r="U38" s="32"/>
      <c r="V38" s="32"/>
    </row>
    <row r="39" customFormat="false" ht="45" hidden="false" customHeight="true" outlineLevel="0" collapsed="false">
      <c r="A39" s="45" t="s">
        <v>1770</v>
      </c>
      <c r="B39" s="111" t="s">
        <v>194</v>
      </c>
      <c r="C39" s="23" t="s">
        <v>158</v>
      </c>
      <c r="D39" s="23" t="s">
        <v>195</v>
      </c>
      <c r="E39" s="23"/>
      <c r="F39" s="23"/>
      <c r="G39" s="23"/>
      <c r="H39" s="23"/>
      <c r="I39" s="23"/>
      <c r="J39" s="23" t="n">
        <f aca="false">H39*I39</f>
        <v>0</v>
      </c>
      <c r="K39" s="23" t="str">
        <f aca="false">IF(J39="","",IF(J39&gt;=20,"CRITICAL",IF(J39&gt;=12,"HIGH",IF(J39&gt;=6,"MEDIUM","LOW"))))</f>
        <v>LOW</v>
      </c>
      <c r="L39" s="23"/>
      <c r="M39" s="23"/>
      <c r="N39" s="23" t="n">
        <f aca="false">IF(J39="","",MAX(1,J39-IFERROR(M39*2,0)))</f>
        <v>1</v>
      </c>
      <c r="O39" s="23" t="str">
        <f aca="false">IF(N39="","",IF(N39&gt;=16,"CRITICAL",IF(N39&gt;=8,"HIGH",IF(N39&gt;=4,"MEDIUM","LOW"))))</f>
        <v>LOW</v>
      </c>
      <c r="P39" s="23"/>
      <c r="Q39" s="23"/>
      <c r="R39" s="23"/>
      <c r="S39" s="23"/>
      <c r="T39" s="128" t="s">
        <v>1706</v>
      </c>
      <c r="U39" s="23"/>
      <c r="V39" s="23"/>
    </row>
    <row r="40" customFormat="false" ht="45" hidden="false" customHeight="true" outlineLevel="0" collapsed="false">
      <c r="A40" s="47" t="s">
        <v>1771</v>
      </c>
      <c r="B40" s="110" t="s">
        <v>197</v>
      </c>
      <c r="C40" s="32" t="s">
        <v>158</v>
      </c>
      <c r="D40" s="32" t="s">
        <v>1772</v>
      </c>
      <c r="E40" s="32"/>
      <c r="F40" s="32"/>
      <c r="G40" s="32"/>
      <c r="H40" s="32"/>
      <c r="I40" s="32"/>
      <c r="J40" s="32" t="n">
        <f aca="false">H40*I40</f>
        <v>0</v>
      </c>
      <c r="K40" s="32" t="str">
        <f aca="false">IF(J40="","",IF(J40&gt;=20,"CRITICAL",IF(J40&gt;=12,"HIGH",IF(J40&gt;=6,"MEDIUM","LOW"))))</f>
        <v>LOW</v>
      </c>
      <c r="L40" s="32"/>
      <c r="M40" s="32"/>
      <c r="N40" s="32" t="n">
        <f aca="false">IF(J40="","",MAX(1,J40-IFERROR(M40*2,0)))</f>
        <v>1</v>
      </c>
      <c r="O40" s="32" t="str">
        <f aca="false">IF(N40="","",IF(N40&gt;=16,"CRITICAL",IF(N40&gt;=8,"HIGH",IF(N40&gt;=4,"MEDIUM","LOW"))))</f>
        <v>LOW</v>
      </c>
      <c r="P40" s="32"/>
      <c r="Q40" s="32"/>
      <c r="R40" s="32"/>
      <c r="S40" s="32"/>
      <c r="T40" s="128" t="s">
        <v>1706</v>
      </c>
      <c r="U40" s="32"/>
      <c r="V40" s="32"/>
    </row>
    <row r="41" customFormat="false" ht="45" hidden="false" customHeight="true" outlineLevel="0" collapsed="false">
      <c r="A41" s="45" t="s">
        <v>1773</v>
      </c>
      <c r="B41" s="111" t="s">
        <v>200</v>
      </c>
      <c r="C41" s="23" t="s">
        <v>158</v>
      </c>
      <c r="D41" s="23" t="s">
        <v>1772</v>
      </c>
      <c r="E41" s="23"/>
      <c r="F41" s="23"/>
      <c r="G41" s="23"/>
      <c r="H41" s="23"/>
      <c r="I41" s="23"/>
      <c r="J41" s="23" t="n">
        <f aca="false">H41*I41</f>
        <v>0</v>
      </c>
      <c r="K41" s="23" t="str">
        <f aca="false">IF(J41="","",IF(J41&gt;=20,"CRITICAL",IF(J41&gt;=12,"HIGH",IF(J41&gt;=6,"MEDIUM","LOW"))))</f>
        <v>LOW</v>
      </c>
      <c r="L41" s="23"/>
      <c r="M41" s="23"/>
      <c r="N41" s="23" t="n">
        <f aca="false">IF(J41="","",MAX(1,J41-IFERROR(M41*2,0)))</f>
        <v>1</v>
      </c>
      <c r="O41" s="23" t="str">
        <f aca="false">IF(N41="","",IF(N41&gt;=16,"CRITICAL",IF(N41&gt;=8,"HIGH",IF(N41&gt;=4,"MEDIUM","LOW"))))</f>
        <v>LOW</v>
      </c>
      <c r="P41" s="23"/>
      <c r="Q41" s="23"/>
      <c r="R41" s="23"/>
      <c r="S41" s="23"/>
      <c r="T41" s="128" t="s">
        <v>1706</v>
      </c>
      <c r="U41" s="23"/>
      <c r="V41" s="23"/>
    </row>
    <row r="42" customFormat="false" ht="45" hidden="false" customHeight="true" outlineLevel="0" collapsed="false">
      <c r="A42" s="47" t="s">
        <v>1774</v>
      </c>
      <c r="B42" s="112" t="s">
        <v>205</v>
      </c>
      <c r="C42" s="32" t="s">
        <v>204</v>
      </c>
      <c r="D42" s="32" t="s">
        <v>1775</v>
      </c>
      <c r="E42" s="32"/>
      <c r="F42" s="32"/>
      <c r="G42" s="32"/>
      <c r="H42" s="32"/>
      <c r="I42" s="32"/>
      <c r="J42" s="32" t="n">
        <f aca="false">H42*I42</f>
        <v>0</v>
      </c>
      <c r="K42" s="32" t="str">
        <f aca="false">IF(J42="","",IF(J42&gt;=20,"CRITICAL",IF(J42&gt;=12,"HIGH",IF(J42&gt;=6,"MEDIUM","LOW"))))</f>
        <v>LOW</v>
      </c>
      <c r="L42" s="32"/>
      <c r="M42" s="32"/>
      <c r="N42" s="32" t="n">
        <f aca="false">IF(J42="","",MAX(1,J42-IFERROR(M42*2,0)))</f>
        <v>1</v>
      </c>
      <c r="O42" s="32" t="str">
        <f aca="false">IF(N42="","",IF(N42&gt;=16,"CRITICAL",IF(N42&gt;=8,"HIGH",IF(N42&gt;=4,"MEDIUM","LOW"))))</f>
        <v>LOW</v>
      </c>
      <c r="P42" s="32"/>
      <c r="Q42" s="32"/>
      <c r="R42" s="32"/>
      <c r="S42" s="32"/>
      <c r="T42" s="128" t="s">
        <v>1706</v>
      </c>
      <c r="U42" s="32"/>
      <c r="V42" s="32"/>
    </row>
    <row r="43" customFormat="false" ht="45" hidden="false" customHeight="true" outlineLevel="0" collapsed="false">
      <c r="A43" s="45" t="s">
        <v>1776</v>
      </c>
      <c r="B43" s="113" t="s">
        <v>209</v>
      </c>
      <c r="C43" s="23" t="s">
        <v>204</v>
      </c>
      <c r="D43" s="23" t="s">
        <v>1708</v>
      </c>
      <c r="E43" s="23"/>
      <c r="F43" s="23"/>
      <c r="G43" s="23"/>
      <c r="H43" s="23"/>
      <c r="I43" s="23"/>
      <c r="J43" s="23" t="n">
        <f aca="false">H43*I43</f>
        <v>0</v>
      </c>
      <c r="K43" s="23" t="str">
        <f aca="false">IF(J43="","",IF(J43&gt;=20,"CRITICAL",IF(J43&gt;=12,"HIGH",IF(J43&gt;=6,"MEDIUM","LOW"))))</f>
        <v>LOW</v>
      </c>
      <c r="L43" s="23"/>
      <c r="M43" s="23"/>
      <c r="N43" s="23" t="n">
        <f aca="false">IF(J43="","",MAX(1,J43-IFERROR(M43*2,0)))</f>
        <v>1</v>
      </c>
      <c r="O43" s="23" t="str">
        <f aca="false">IF(N43="","",IF(N43&gt;=16,"CRITICAL",IF(N43&gt;=8,"HIGH",IF(N43&gt;=4,"MEDIUM","LOW"))))</f>
        <v>LOW</v>
      </c>
      <c r="P43" s="23"/>
      <c r="Q43" s="23"/>
      <c r="R43" s="23"/>
      <c r="S43" s="23"/>
      <c r="T43" s="128" t="s">
        <v>1706</v>
      </c>
      <c r="U43" s="23"/>
      <c r="V43" s="23"/>
    </row>
    <row r="44" customFormat="false" ht="45" hidden="false" customHeight="true" outlineLevel="0" collapsed="false">
      <c r="A44" s="47" t="s">
        <v>1777</v>
      </c>
      <c r="B44" s="112" t="s">
        <v>212</v>
      </c>
      <c r="C44" s="32" t="s">
        <v>204</v>
      </c>
      <c r="D44" s="32" t="s">
        <v>1778</v>
      </c>
      <c r="E44" s="32"/>
      <c r="F44" s="32"/>
      <c r="G44" s="32"/>
      <c r="H44" s="32"/>
      <c r="I44" s="32"/>
      <c r="J44" s="32" t="n">
        <f aca="false">H44*I44</f>
        <v>0</v>
      </c>
      <c r="K44" s="32" t="str">
        <f aca="false">IF(J44="","",IF(J44&gt;=20,"CRITICAL",IF(J44&gt;=12,"HIGH",IF(J44&gt;=6,"MEDIUM","LOW"))))</f>
        <v>LOW</v>
      </c>
      <c r="L44" s="32"/>
      <c r="M44" s="32"/>
      <c r="N44" s="32" t="n">
        <f aca="false">IF(J44="","",MAX(1,J44-IFERROR(M44*2,0)))</f>
        <v>1</v>
      </c>
      <c r="O44" s="32" t="str">
        <f aca="false">IF(N44="","",IF(N44&gt;=16,"CRITICAL",IF(N44&gt;=8,"HIGH",IF(N44&gt;=4,"MEDIUM","LOW"))))</f>
        <v>LOW</v>
      </c>
      <c r="P44" s="32"/>
      <c r="Q44" s="32"/>
      <c r="R44" s="32"/>
      <c r="S44" s="32"/>
      <c r="T44" s="128" t="s">
        <v>1706</v>
      </c>
      <c r="U44" s="32"/>
      <c r="V44" s="32"/>
    </row>
    <row r="45" customFormat="false" ht="45" hidden="false" customHeight="true" outlineLevel="0" collapsed="false">
      <c r="A45" s="45" t="s">
        <v>1779</v>
      </c>
      <c r="B45" s="113" t="s">
        <v>215</v>
      </c>
      <c r="C45" s="23" t="s">
        <v>204</v>
      </c>
      <c r="D45" s="23" t="s">
        <v>216</v>
      </c>
      <c r="E45" s="23"/>
      <c r="F45" s="23"/>
      <c r="G45" s="23"/>
      <c r="H45" s="23"/>
      <c r="I45" s="23"/>
      <c r="J45" s="23" t="n">
        <f aca="false">H45*I45</f>
        <v>0</v>
      </c>
      <c r="K45" s="23" t="str">
        <f aca="false">IF(J45="","",IF(J45&gt;=20,"CRITICAL",IF(J45&gt;=12,"HIGH",IF(J45&gt;=6,"MEDIUM","LOW"))))</f>
        <v>LOW</v>
      </c>
      <c r="L45" s="23"/>
      <c r="M45" s="23"/>
      <c r="N45" s="23" t="n">
        <f aca="false">IF(J45="","",MAX(1,J45-IFERROR(M45*2,0)))</f>
        <v>1</v>
      </c>
      <c r="O45" s="23" t="str">
        <f aca="false">IF(N45="","",IF(N45&gt;=16,"CRITICAL",IF(N45&gt;=8,"HIGH",IF(N45&gt;=4,"MEDIUM","LOW"))))</f>
        <v>LOW</v>
      </c>
      <c r="P45" s="23"/>
      <c r="Q45" s="23"/>
      <c r="R45" s="23"/>
      <c r="S45" s="23"/>
      <c r="T45" s="128" t="s">
        <v>1706</v>
      </c>
      <c r="U45" s="23"/>
      <c r="V45" s="23"/>
    </row>
    <row r="46" customFormat="false" ht="45" hidden="false" customHeight="true" outlineLevel="0" collapsed="false">
      <c r="A46" s="47" t="s">
        <v>1780</v>
      </c>
      <c r="B46" s="112" t="s">
        <v>218</v>
      </c>
      <c r="C46" s="32" t="s">
        <v>204</v>
      </c>
      <c r="D46" s="32" t="s">
        <v>1781</v>
      </c>
      <c r="E46" s="32"/>
      <c r="F46" s="32"/>
      <c r="G46" s="32"/>
      <c r="H46" s="32"/>
      <c r="I46" s="32"/>
      <c r="J46" s="32" t="n">
        <f aca="false">H46*I46</f>
        <v>0</v>
      </c>
      <c r="K46" s="32" t="str">
        <f aca="false">IF(J46="","",IF(J46&gt;=20,"CRITICAL",IF(J46&gt;=12,"HIGH",IF(J46&gt;=6,"MEDIUM","LOW"))))</f>
        <v>LOW</v>
      </c>
      <c r="L46" s="32"/>
      <c r="M46" s="32"/>
      <c r="N46" s="32" t="n">
        <f aca="false">IF(J46="","",MAX(1,J46-IFERROR(M46*2,0)))</f>
        <v>1</v>
      </c>
      <c r="O46" s="32" t="str">
        <f aca="false">IF(N46="","",IF(N46&gt;=16,"CRITICAL",IF(N46&gt;=8,"HIGH",IF(N46&gt;=4,"MEDIUM","LOW"))))</f>
        <v>LOW</v>
      </c>
      <c r="P46" s="32"/>
      <c r="Q46" s="32"/>
      <c r="R46" s="32"/>
      <c r="S46" s="32"/>
      <c r="T46" s="128" t="s">
        <v>1706</v>
      </c>
      <c r="U46" s="32"/>
      <c r="V46" s="32"/>
    </row>
    <row r="47" customFormat="false" ht="45" hidden="false" customHeight="true" outlineLevel="0" collapsed="false">
      <c r="A47" s="45" t="s">
        <v>1782</v>
      </c>
      <c r="B47" s="113" t="s">
        <v>222</v>
      </c>
      <c r="C47" s="23" t="s">
        <v>204</v>
      </c>
      <c r="D47" s="23" t="s">
        <v>223</v>
      </c>
      <c r="E47" s="23"/>
      <c r="F47" s="23"/>
      <c r="G47" s="23"/>
      <c r="H47" s="23"/>
      <c r="I47" s="23"/>
      <c r="J47" s="23" t="n">
        <f aca="false">H47*I47</f>
        <v>0</v>
      </c>
      <c r="K47" s="23" t="str">
        <f aca="false">IF(J47="","",IF(J47&gt;=20,"CRITICAL",IF(J47&gt;=12,"HIGH",IF(J47&gt;=6,"MEDIUM","LOW"))))</f>
        <v>LOW</v>
      </c>
      <c r="L47" s="23"/>
      <c r="M47" s="23"/>
      <c r="N47" s="23" t="n">
        <f aca="false">IF(J47="","",MAX(1,J47-IFERROR(M47*2,0)))</f>
        <v>1</v>
      </c>
      <c r="O47" s="23" t="str">
        <f aca="false">IF(N47="","",IF(N47&gt;=16,"CRITICAL",IF(N47&gt;=8,"HIGH",IF(N47&gt;=4,"MEDIUM","LOW"))))</f>
        <v>LOW</v>
      </c>
      <c r="P47" s="23"/>
      <c r="Q47" s="23"/>
      <c r="R47" s="23"/>
      <c r="S47" s="23"/>
      <c r="T47" s="128" t="s">
        <v>1706</v>
      </c>
      <c r="U47" s="23"/>
      <c r="V47" s="23"/>
    </row>
    <row r="48" customFormat="false" ht="45" hidden="false" customHeight="true" outlineLevel="0" collapsed="false">
      <c r="A48" s="47" t="s">
        <v>1783</v>
      </c>
      <c r="B48" s="112" t="s">
        <v>226</v>
      </c>
      <c r="C48" s="32" t="s">
        <v>204</v>
      </c>
      <c r="D48" s="32" t="s">
        <v>1784</v>
      </c>
      <c r="E48" s="32"/>
      <c r="F48" s="32"/>
      <c r="G48" s="32"/>
      <c r="H48" s="32"/>
      <c r="I48" s="32"/>
      <c r="J48" s="32" t="n">
        <f aca="false">H48*I48</f>
        <v>0</v>
      </c>
      <c r="K48" s="32" t="str">
        <f aca="false">IF(J48="","",IF(J48&gt;=20,"CRITICAL",IF(J48&gt;=12,"HIGH",IF(J48&gt;=6,"MEDIUM","LOW"))))</f>
        <v>LOW</v>
      </c>
      <c r="L48" s="32"/>
      <c r="M48" s="32"/>
      <c r="N48" s="32" t="n">
        <f aca="false">IF(J48="","",MAX(1,J48-IFERROR(M48*2,0)))</f>
        <v>1</v>
      </c>
      <c r="O48" s="32" t="str">
        <f aca="false">IF(N48="","",IF(N48&gt;=16,"CRITICAL",IF(N48&gt;=8,"HIGH",IF(N48&gt;=4,"MEDIUM","LOW"))))</f>
        <v>LOW</v>
      </c>
      <c r="P48" s="32"/>
      <c r="Q48" s="32"/>
      <c r="R48" s="32"/>
      <c r="S48" s="32"/>
      <c r="T48" s="128" t="s">
        <v>1706</v>
      </c>
      <c r="U48" s="32"/>
      <c r="V48" s="32"/>
    </row>
    <row r="49" customFormat="false" ht="45" hidden="false" customHeight="true" outlineLevel="0" collapsed="false">
      <c r="A49" s="45" t="s">
        <v>1785</v>
      </c>
      <c r="B49" s="113" t="s">
        <v>229</v>
      </c>
      <c r="C49" s="23" t="s">
        <v>204</v>
      </c>
      <c r="D49" s="23" t="s">
        <v>1786</v>
      </c>
      <c r="E49" s="23"/>
      <c r="F49" s="23"/>
      <c r="G49" s="23"/>
      <c r="H49" s="23"/>
      <c r="I49" s="23"/>
      <c r="J49" s="23" t="n">
        <f aca="false">H49*I49</f>
        <v>0</v>
      </c>
      <c r="K49" s="23" t="str">
        <f aca="false">IF(J49="","",IF(J49&gt;=20,"CRITICAL",IF(J49&gt;=12,"HIGH",IF(J49&gt;=6,"MEDIUM","LOW"))))</f>
        <v>LOW</v>
      </c>
      <c r="L49" s="23"/>
      <c r="M49" s="23"/>
      <c r="N49" s="23" t="n">
        <f aca="false">IF(J49="","",MAX(1,J49-IFERROR(M49*2,0)))</f>
        <v>1</v>
      </c>
      <c r="O49" s="23" t="str">
        <f aca="false">IF(N49="","",IF(N49&gt;=16,"CRITICAL",IF(N49&gt;=8,"HIGH",IF(N49&gt;=4,"MEDIUM","LOW"))))</f>
        <v>LOW</v>
      </c>
      <c r="P49" s="23"/>
      <c r="Q49" s="23"/>
      <c r="R49" s="23"/>
      <c r="S49" s="23"/>
      <c r="T49" s="128" t="s">
        <v>1706</v>
      </c>
      <c r="U49" s="23"/>
      <c r="V49" s="23"/>
    </row>
    <row r="50" customFormat="false" ht="45" hidden="false" customHeight="true" outlineLevel="0" collapsed="false">
      <c r="A50" s="47" t="s">
        <v>1787</v>
      </c>
      <c r="B50" s="112" t="s">
        <v>232</v>
      </c>
      <c r="C50" s="32" t="s">
        <v>204</v>
      </c>
      <c r="D50" s="32" t="s">
        <v>1788</v>
      </c>
      <c r="E50" s="32"/>
      <c r="F50" s="32"/>
      <c r="G50" s="32"/>
      <c r="H50" s="32"/>
      <c r="I50" s="32"/>
      <c r="J50" s="32" t="n">
        <f aca="false">H50*I50</f>
        <v>0</v>
      </c>
      <c r="K50" s="32" t="str">
        <f aca="false">IF(J50="","",IF(J50&gt;=20,"CRITICAL",IF(J50&gt;=12,"HIGH",IF(J50&gt;=6,"MEDIUM","LOW"))))</f>
        <v>LOW</v>
      </c>
      <c r="L50" s="32"/>
      <c r="M50" s="32"/>
      <c r="N50" s="32" t="n">
        <f aca="false">IF(J50="","",MAX(1,J50-IFERROR(M50*2,0)))</f>
        <v>1</v>
      </c>
      <c r="O50" s="32" t="str">
        <f aca="false">IF(N50="","",IF(N50&gt;=16,"CRITICAL",IF(N50&gt;=8,"HIGH",IF(N50&gt;=4,"MEDIUM","LOW"))))</f>
        <v>LOW</v>
      </c>
      <c r="P50" s="32"/>
      <c r="Q50" s="32"/>
      <c r="R50" s="32"/>
      <c r="S50" s="32"/>
      <c r="T50" s="128" t="s">
        <v>1706</v>
      </c>
      <c r="U50" s="32"/>
      <c r="V50" s="32"/>
    </row>
    <row r="51" customFormat="false" ht="45" hidden="false" customHeight="true" outlineLevel="0" collapsed="false">
      <c r="A51" s="45" t="s">
        <v>1789</v>
      </c>
      <c r="B51" s="113" t="s">
        <v>235</v>
      </c>
      <c r="C51" s="23" t="s">
        <v>204</v>
      </c>
      <c r="D51" s="23" t="s">
        <v>1790</v>
      </c>
      <c r="E51" s="23"/>
      <c r="F51" s="23"/>
      <c r="G51" s="23"/>
      <c r="H51" s="23"/>
      <c r="I51" s="23"/>
      <c r="J51" s="23" t="n">
        <f aca="false">H51*I51</f>
        <v>0</v>
      </c>
      <c r="K51" s="23" t="str">
        <f aca="false">IF(J51="","",IF(J51&gt;=20,"CRITICAL",IF(J51&gt;=12,"HIGH",IF(J51&gt;=6,"MEDIUM","LOW"))))</f>
        <v>LOW</v>
      </c>
      <c r="L51" s="23"/>
      <c r="M51" s="23"/>
      <c r="N51" s="23" t="n">
        <f aca="false">IF(J51="","",MAX(1,J51-IFERROR(M51*2,0)))</f>
        <v>1</v>
      </c>
      <c r="O51" s="23" t="str">
        <f aca="false">IF(N51="","",IF(N51&gt;=16,"CRITICAL",IF(N51&gt;=8,"HIGH",IF(N51&gt;=4,"MEDIUM","LOW"))))</f>
        <v>LOW</v>
      </c>
      <c r="P51" s="23"/>
      <c r="Q51" s="23"/>
      <c r="R51" s="23"/>
      <c r="S51" s="23"/>
      <c r="T51" s="128" t="s">
        <v>1706</v>
      </c>
      <c r="U51" s="23"/>
      <c r="V51" s="23"/>
    </row>
    <row r="52" customFormat="false" ht="45" hidden="false" customHeight="true" outlineLevel="0" collapsed="false">
      <c r="A52" s="47" t="s">
        <v>1791</v>
      </c>
      <c r="B52" s="112" t="s">
        <v>238</v>
      </c>
      <c r="C52" s="32" t="s">
        <v>204</v>
      </c>
      <c r="D52" s="32" t="s">
        <v>1792</v>
      </c>
      <c r="E52" s="32"/>
      <c r="F52" s="32"/>
      <c r="G52" s="32"/>
      <c r="H52" s="32"/>
      <c r="I52" s="32"/>
      <c r="J52" s="32" t="n">
        <f aca="false">H52*I52</f>
        <v>0</v>
      </c>
      <c r="K52" s="32" t="str">
        <f aca="false">IF(J52="","",IF(J52&gt;=20,"CRITICAL",IF(J52&gt;=12,"HIGH",IF(J52&gt;=6,"MEDIUM","LOW"))))</f>
        <v>LOW</v>
      </c>
      <c r="L52" s="32"/>
      <c r="M52" s="32"/>
      <c r="N52" s="32" t="n">
        <f aca="false">IF(J52="","",MAX(1,J52-IFERROR(M52*2,0)))</f>
        <v>1</v>
      </c>
      <c r="O52" s="32" t="str">
        <f aca="false">IF(N52="","",IF(N52&gt;=16,"CRITICAL",IF(N52&gt;=8,"HIGH",IF(N52&gt;=4,"MEDIUM","LOW"))))</f>
        <v>LOW</v>
      </c>
      <c r="P52" s="32"/>
      <c r="Q52" s="32"/>
      <c r="R52" s="32"/>
      <c r="S52" s="32"/>
      <c r="T52" s="128" t="s">
        <v>1706</v>
      </c>
      <c r="U52" s="32"/>
      <c r="V52" s="32"/>
    </row>
    <row r="53" customFormat="false" ht="45" hidden="false" customHeight="true" outlineLevel="0" collapsed="false">
      <c r="A53" s="45" t="s">
        <v>1793</v>
      </c>
      <c r="B53" s="113" t="s">
        <v>241</v>
      </c>
      <c r="C53" s="23" t="s">
        <v>204</v>
      </c>
      <c r="D53" s="23" t="s">
        <v>1794</v>
      </c>
      <c r="E53" s="23"/>
      <c r="F53" s="23"/>
      <c r="G53" s="23"/>
      <c r="H53" s="23"/>
      <c r="I53" s="23"/>
      <c r="J53" s="23" t="n">
        <f aca="false">H53*I53</f>
        <v>0</v>
      </c>
      <c r="K53" s="23" t="str">
        <f aca="false">IF(J53="","",IF(J53&gt;=20,"CRITICAL",IF(J53&gt;=12,"HIGH",IF(J53&gt;=6,"MEDIUM","LOW"))))</f>
        <v>LOW</v>
      </c>
      <c r="L53" s="23"/>
      <c r="M53" s="23"/>
      <c r="N53" s="23" t="n">
        <f aca="false">IF(J53="","",MAX(1,J53-IFERROR(M53*2,0)))</f>
        <v>1</v>
      </c>
      <c r="O53" s="23" t="str">
        <f aca="false">IF(N53="","",IF(N53&gt;=16,"CRITICAL",IF(N53&gt;=8,"HIGH",IF(N53&gt;=4,"MEDIUM","LOW"))))</f>
        <v>LOW</v>
      </c>
      <c r="P53" s="23"/>
      <c r="Q53" s="23"/>
      <c r="R53" s="23"/>
      <c r="S53" s="23"/>
      <c r="T53" s="128" t="s">
        <v>1706</v>
      </c>
      <c r="U53" s="23"/>
      <c r="V53" s="23"/>
    </row>
    <row r="54" customFormat="false" ht="45" hidden="false" customHeight="true" outlineLevel="0" collapsed="false">
      <c r="A54" s="47" t="s">
        <v>1795</v>
      </c>
      <c r="B54" s="112" t="s">
        <v>245</v>
      </c>
      <c r="C54" s="32" t="s">
        <v>204</v>
      </c>
      <c r="D54" s="32" t="s">
        <v>1796</v>
      </c>
      <c r="E54" s="32"/>
      <c r="F54" s="32"/>
      <c r="G54" s="32"/>
      <c r="H54" s="32"/>
      <c r="I54" s="32"/>
      <c r="J54" s="32" t="n">
        <f aca="false">H54*I54</f>
        <v>0</v>
      </c>
      <c r="K54" s="32" t="str">
        <f aca="false">IF(J54="","",IF(J54&gt;=20,"CRITICAL",IF(J54&gt;=12,"HIGH",IF(J54&gt;=6,"MEDIUM","LOW"))))</f>
        <v>LOW</v>
      </c>
      <c r="L54" s="32"/>
      <c r="M54" s="32"/>
      <c r="N54" s="32" t="n">
        <f aca="false">IF(J54="","",MAX(1,J54-IFERROR(M54*2,0)))</f>
        <v>1</v>
      </c>
      <c r="O54" s="32" t="str">
        <f aca="false">IF(N54="","",IF(N54&gt;=16,"CRITICAL",IF(N54&gt;=8,"HIGH",IF(N54&gt;=4,"MEDIUM","LOW"))))</f>
        <v>LOW</v>
      </c>
      <c r="P54" s="32"/>
      <c r="Q54" s="32"/>
      <c r="R54" s="32"/>
      <c r="S54" s="32"/>
      <c r="T54" s="128" t="s">
        <v>1706</v>
      </c>
      <c r="U54" s="32"/>
      <c r="V54" s="32"/>
    </row>
    <row r="55" customFormat="false" ht="45" hidden="false" customHeight="true" outlineLevel="0" collapsed="false">
      <c r="A55" s="45" t="s">
        <v>1797</v>
      </c>
      <c r="B55" s="113" t="s">
        <v>249</v>
      </c>
      <c r="C55" s="23" t="s">
        <v>204</v>
      </c>
      <c r="D55" s="23" t="s">
        <v>1798</v>
      </c>
      <c r="E55" s="23"/>
      <c r="F55" s="23"/>
      <c r="G55" s="23"/>
      <c r="H55" s="23"/>
      <c r="I55" s="23"/>
      <c r="J55" s="23" t="n">
        <f aca="false">H55*I55</f>
        <v>0</v>
      </c>
      <c r="K55" s="23" t="str">
        <f aca="false">IF(J55="","",IF(J55&gt;=20,"CRITICAL",IF(J55&gt;=12,"HIGH",IF(J55&gt;=6,"MEDIUM","LOW"))))</f>
        <v>LOW</v>
      </c>
      <c r="L55" s="23"/>
      <c r="M55" s="23"/>
      <c r="N55" s="23" t="n">
        <f aca="false">IF(J55="","",MAX(1,J55-IFERROR(M55*2,0)))</f>
        <v>1</v>
      </c>
      <c r="O55" s="23" t="str">
        <f aca="false">IF(N55="","",IF(N55&gt;=16,"CRITICAL",IF(N55&gt;=8,"HIGH",IF(N55&gt;=4,"MEDIUM","LOW"))))</f>
        <v>LOW</v>
      </c>
      <c r="P55" s="23"/>
      <c r="Q55" s="23"/>
      <c r="R55" s="23"/>
      <c r="S55" s="23"/>
      <c r="T55" s="128" t="s">
        <v>1706</v>
      </c>
      <c r="U55" s="23"/>
      <c r="V55" s="23"/>
    </row>
    <row r="56" customFormat="false" ht="45" hidden="false" customHeight="true" outlineLevel="0" collapsed="false">
      <c r="A56" s="47" t="s">
        <v>1799</v>
      </c>
      <c r="B56" s="112" t="s">
        <v>252</v>
      </c>
      <c r="C56" s="32" t="s">
        <v>204</v>
      </c>
      <c r="D56" s="32" t="s">
        <v>1800</v>
      </c>
      <c r="E56" s="32"/>
      <c r="F56" s="32"/>
      <c r="G56" s="32"/>
      <c r="H56" s="32"/>
      <c r="I56" s="32"/>
      <c r="J56" s="32" t="n">
        <f aca="false">H56*I56</f>
        <v>0</v>
      </c>
      <c r="K56" s="32" t="str">
        <f aca="false">IF(J56="","",IF(J56&gt;=20,"CRITICAL",IF(J56&gt;=12,"HIGH",IF(J56&gt;=6,"MEDIUM","LOW"))))</f>
        <v>LOW</v>
      </c>
      <c r="L56" s="32"/>
      <c r="M56" s="32"/>
      <c r="N56" s="32" t="n">
        <f aca="false">IF(J56="","",MAX(1,J56-IFERROR(M56*2,0)))</f>
        <v>1</v>
      </c>
      <c r="O56" s="32" t="str">
        <f aca="false">IF(N56="","",IF(N56&gt;=16,"CRITICAL",IF(N56&gt;=8,"HIGH",IF(N56&gt;=4,"MEDIUM","LOW"))))</f>
        <v>LOW</v>
      </c>
      <c r="P56" s="32"/>
      <c r="Q56" s="32"/>
      <c r="R56" s="32"/>
      <c r="S56" s="32"/>
      <c r="T56" s="128" t="s">
        <v>1706</v>
      </c>
      <c r="U56" s="32"/>
      <c r="V56" s="32"/>
    </row>
    <row r="57" customFormat="false" ht="45" hidden="false" customHeight="true" outlineLevel="0" collapsed="false">
      <c r="A57" s="45" t="s">
        <v>1801</v>
      </c>
      <c r="B57" s="113" t="s">
        <v>255</v>
      </c>
      <c r="C57" s="23" t="s">
        <v>204</v>
      </c>
      <c r="D57" s="23" t="s">
        <v>256</v>
      </c>
      <c r="E57" s="23"/>
      <c r="F57" s="23"/>
      <c r="G57" s="23"/>
      <c r="H57" s="23"/>
      <c r="I57" s="23"/>
      <c r="J57" s="23" t="n">
        <f aca="false">H57*I57</f>
        <v>0</v>
      </c>
      <c r="K57" s="23" t="str">
        <f aca="false">IF(J57="","",IF(J57&gt;=20,"CRITICAL",IF(J57&gt;=12,"HIGH",IF(J57&gt;=6,"MEDIUM","LOW"))))</f>
        <v>LOW</v>
      </c>
      <c r="L57" s="23"/>
      <c r="M57" s="23"/>
      <c r="N57" s="23" t="n">
        <f aca="false">IF(J57="","",MAX(1,J57-IFERROR(M57*2,0)))</f>
        <v>1</v>
      </c>
      <c r="O57" s="23" t="str">
        <f aca="false">IF(N57="","",IF(N57&gt;=16,"CRITICAL",IF(N57&gt;=8,"HIGH",IF(N57&gt;=4,"MEDIUM","LOW"))))</f>
        <v>LOW</v>
      </c>
      <c r="P57" s="23"/>
      <c r="Q57" s="23"/>
      <c r="R57" s="23"/>
      <c r="S57" s="23"/>
      <c r="T57" s="128" t="s">
        <v>1706</v>
      </c>
      <c r="U57" s="23"/>
      <c r="V57" s="23"/>
    </row>
    <row r="58" customFormat="false" ht="45" hidden="false" customHeight="true" outlineLevel="0" collapsed="false">
      <c r="A58" s="47" t="s">
        <v>1802</v>
      </c>
      <c r="B58" s="112" t="s">
        <v>258</v>
      </c>
      <c r="C58" s="32" t="s">
        <v>204</v>
      </c>
      <c r="D58" s="32" t="s">
        <v>1803</v>
      </c>
      <c r="E58" s="32"/>
      <c r="F58" s="32"/>
      <c r="G58" s="32"/>
      <c r="H58" s="32"/>
      <c r="I58" s="32"/>
      <c r="J58" s="32" t="n">
        <f aca="false">H58*I58</f>
        <v>0</v>
      </c>
      <c r="K58" s="32" t="str">
        <f aca="false">IF(J58="","",IF(J58&gt;=20,"CRITICAL",IF(J58&gt;=12,"HIGH",IF(J58&gt;=6,"MEDIUM","LOW"))))</f>
        <v>LOW</v>
      </c>
      <c r="L58" s="32"/>
      <c r="M58" s="32"/>
      <c r="N58" s="32" t="n">
        <f aca="false">IF(J58="","",MAX(1,J58-IFERROR(M58*2,0)))</f>
        <v>1</v>
      </c>
      <c r="O58" s="32" t="str">
        <f aca="false">IF(N58="","",IF(N58&gt;=16,"CRITICAL",IF(N58&gt;=8,"HIGH",IF(N58&gt;=4,"MEDIUM","LOW"))))</f>
        <v>LOW</v>
      </c>
      <c r="P58" s="32"/>
      <c r="Q58" s="32"/>
      <c r="R58" s="32"/>
      <c r="S58" s="32"/>
      <c r="T58" s="128" t="s">
        <v>1706</v>
      </c>
      <c r="U58" s="32"/>
      <c r="V58" s="32"/>
    </row>
    <row r="59" customFormat="false" ht="45" hidden="false" customHeight="true" outlineLevel="0" collapsed="false">
      <c r="A59" s="45" t="s">
        <v>1804</v>
      </c>
      <c r="B59" s="113" t="s">
        <v>261</v>
      </c>
      <c r="C59" s="23" t="s">
        <v>204</v>
      </c>
      <c r="D59" s="23" t="s">
        <v>1805</v>
      </c>
      <c r="E59" s="23"/>
      <c r="F59" s="23"/>
      <c r="G59" s="23"/>
      <c r="H59" s="23"/>
      <c r="I59" s="23"/>
      <c r="J59" s="23" t="n">
        <f aca="false">H59*I59</f>
        <v>0</v>
      </c>
      <c r="K59" s="23" t="str">
        <f aca="false">IF(J59="","",IF(J59&gt;=20,"CRITICAL",IF(J59&gt;=12,"HIGH",IF(J59&gt;=6,"MEDIUM","LOW"))))</f>
        <v>LOW</v>
      </c>
      <c r="L59" s="23"/>
      <c r="M59" s="23"/>
      <c r="N59" s="23" t="n">
        <f aca="false">IF(J59="","",MAX(1,J59-IFERROR(M59*2,0)))</f>
        <v>1</v>
      </c>
      <c r="O59" s="23" t="str">
        <f aca="false">IF(N59="","",IF(N59&gt;=16,"CRITICAL",IF(N59&gt;=8,"HIGH",IF(N59&gt;=4,"MEDIUM","LOW"))))</f>
        <v>LOW</v>
      </c>
      <c r="P59" s="23"/>
      <c r="Q59" s="23"/>
      <c r="R59" s="23"/>
      <c r="S59" s="23"/>
      <c r="T59" s="128" t="s">
        <v>1706</v>
      </c>
      <c r="U59" s="23"/>
      <c r="V59" s="23"/>
    </row>
    <row r="60" customFormat="false" ht="45" hidden="false" customHeight="true" outlineLevel="0" collapsed="false">
      <c r="A60" s="47" t="s">
        <v>1806</v>
      </c>
      <c r="B60" s="112" t="s">
        <v>264</v>
      </c>
      <c r="C60" s="32" t="s">
        <v>204</v>
      </c>
      <c r="D60" s="32" t="s">
        <v>1807</v>
      </c>
      <c r="E60" s="32"/>
      <c r="F60" s="32"/>
      <c r="G60" s="32"/>
      <c r="H60" s="32"/>
      <c r="I60" s="32"/>
      <c r="J60" s="32" t="n">
        <f aca="false">H60*I60</f>
        <v>0</v>
      </c>
      <c r="K60" s="32" t="str">
        <f aca="false">IF(J60="","",IF(J60&gt;=20,"CRITICAL",IF(J60&gt;=12,"HIGH",IF(J60&gt;=6,"MEDIUM","LOW"))))</f>
        <v>LOW</v>
      </c>
      <c r="L60" s="32"/>
      <c r="M60" s="32"/>
      <c r="N60" s="32" t="n">
        <f aca="false">IF(J60="","",MAX(1,J60-IFERROR(M60*2,0)))</f>
        <v>1</v>
      </c>
      <c r="O60" s="32" t="str">
        <f aca="false">IF(N60="","",IF(N60&gt;=16,"CRITICAL",IF(N60&gt;=8,"HIGH",IF(N60&gt;=4,"MEDIUM","LOW"))))</f>
        <v>LOW</v>
      </c>
      <c r="P60" s="32"/>
      <c r="Q60" s="32"/>
      <c r="R60" s="32"/>
      <c r="S60" s="32"/>
      <c r="T60" s="128" t="s">
        <v>1706</v>
      </c>
      <c r="U60" s="32"/>
      <c r="V60" s="32"/>
    </row>
    <row r="61" customFormat="false" ht="45" hidden="false" customHeight="true" outlineLevel="0" collapsed="false">
      <c r="A61" s="45" t="s">
        <v>1808</v>
      </c>
      <c r="B61" s="113" t="s">
        <v>267</v>
      </c>
      <c r="C61" s="23" t="s">
        <v>204</v>
      </c>
      <c r="D61" s="23" t="s">
        <v>1809</v>
      </c>
      <c r="E61" s="23"/>
      <c r="F61" s="23"/>
      <c r="G61" s="23"/>
      <c r="H61" s="23"/>
      <c r="I61" s="23"/>
      <c r="J61" s="23" t="n">
        <f aca="false">H61*I61</f>
        <v>0</v>
      </c>
      <c r="K61" s="23" t="str">
        <f aca="false">IF(J61="","",IF(J61&gt;=20,"CRITICAL",IF(J61&gt;=12,"HIGH",IF(J61&gt;=6,"MEDIUM","LOW"))))</f>
        <v>LOW</v>
      </c>
      <c r="L61" s="23"/>
      <c r="M61" s="23"/>
      <c r="N61" s="23" t="n">
        <f aca="false">IF(J61="","",MAX(1,J61-IFERROR(M61*2,0)))</f>
        <v>1</v>
      </c>
      <c r="O61" s="23" t="str">
        <f aca="false">IF(N61="","",IF(N61&gt;=16,"CRITICAL",IF(N61&gt;=8,"HIGH",IF(N61&gt;=4,"MEDIUM","LOW"))))</f>
        <v>LOW</v>
      </c>
      <c r="P61" s="23"/>
      <c r="Q61" s="23"/>
      <c r="R61" s="23"/>
      <c r="S61" s="23"/>
      <c r="T61" s="128" t="s">
        <v>1706</v>
      </c>
      <c r="U61" s="23"/>
      <c r="V61" s="23"/>
    </row>
    <row r="62" customFormat="false" ht="45" hidden="false" customHeight="true" outlineLevel="0" collapsed="false">
      <c r="A62" s="47" t="s">
        <v>1810</v>
      </c>
      <c r="B62" s="112" t="s">
        <v>270</v>
      </c>
      <c r="C62" s="32" t="s">
        <v>204</v>
      </c>
      <c r="D62" s="32" t="s">
        <v>271</v>
      </c>
      <c r="E62" s="32"/>
      <c r="F62" s="32"/>
      <c r="G62" s="32"/>
      <c r="H62" s="32"/>
      <c r="I62" s="32"/>
      <c r="J62" s="32" t="n">
        <f aca="false">H62*I62</f>
        <v>0</v>
      </c>
      <c r="K62" s="32" t="str">
        <f aca="false">IF(J62="","",IF(J62&gt;=20,"CRITICAL",IF(J62&gt;=12,"HIGH",IF(J62&gt;=6,"MEDIUM","LOW"))))</f>
        <v>LOW</v>
      </c>
      <c r="L62" s="32"/>
      <c r="M62" s="32"/>
      <c r="N62" s="32" t="n">
        <f aca="false">IF(J62="","",MAX(1,J62-IFERROR(M62*2,0)))</f>
        <v>1</v>
      </c>
      <c r="O62" s="32" t="str">
        <f aca="false">IF(N62="","",IF(N62&gt;=16,"CRITICAL",IF(N62&gt;=8,"HIGH",IF(N62&gt;=4,"MEDIUM","LOW"))))</f>
        <v>LOW</v>
      </c>
      <c r="P62" s="32"/>
      <c r="Q62" s="32"/>
      <c r="R62" s="32"/>
      <c r="S62" s="32"/>
      <c r="T62" s="128" t="s">
        <v>1706</v>
      </c>
      <c r="U62" s="32"/>
      <c r="V62" s="32"/>
    </row>
    <row r="63" customFormat="false" ht="45" hidden="false" customHeight="true" outlineLevel="0" collapsed="false">
      <c r="A63" s="45" t="s">
        <v>1811</v>
      </c>
      <c r="B63" s="113" t="s">
        <v>273</v>
      </c>
      <c r="C63" s="23" t="s">
        <v>204</v>
      </c>
      <c r="D63" s="23" t="s">
        <v>1812</v>
      </c>
      <c r="E63" s="23"/>
      <c r="F63" s="23"/>
      <c r="G63" s="23"/>
      <c r="H63" s="23"/>
      <c r="I63" s="23"/>
      <c r="J63" s="23" t="n">
        <f aca="false">H63*I63</f>
        <v>0</v>
      </c>
      <c r="K63" s="23" t="str">
        <f aca="false">IF(J63="","",IF(J63&gt;=20,"CRITICAL",IF(J63&gt;=12,"HIGH",IF(J63&gt;=6,"MEDIUM","LOW"))))</f>
        <v>LOW</v>
      </c>
      <c r="L63" s="23"/>
      <c r="M63" s="23"/>
      <c r="N63" s="23" t="n">
        <f aca="false">IF(J63="","",MAX(1,J63-IFERROR(M63*2,0)))</f>
        <v>1</v>
      </c>
      <c r="O63" s="23" t="str">
        <f aca="false">IF(N63="","",IF(N63&gt;=16,"CRITICAL",IF(N63&gt;=8,"HIGH",IF(N63&gt;=4,"MEDIUM","LOW"))))</f>
        <v>LOW</v>
      </c>
      <c r="P63" s="23"/>
      <c r="Q63" s="23"/>
      <c r="R63" s="23"/>
      <c r="S63" s="23"/>
      <c r="T63" s="128" t="s">
        <v>1706</v>
      </c>
      <c r="U63" s="23"/>
      <c r="V63" s="23"/>
    </row>
    <row r="64" customFormat="false" ht="45" hidden="false" customHeight="true" outlineLevel="0" collapsed="false">
      <c r="A64" s="47" t="s">
        <v>1813</v>
      </c>
      <c r="B64" s="112" t="s">
        <v>276</v>
      </c>
      <c r="C64" s="32" t="s">
        <v>204</v>
      </c>
      <c r="D64" s="32" t="s">
        <v>1814</v>
      </c>
      <c r="E64" s="32"/>
      <c r="F64" s="32"/>
      <c r="G64" s="32"/>
      <c r="H64" s="32"/>
      <c r="I64" s="32"/>
      <c r="J64" s="32" t="n">
        <f aca="false">H64*I64</f>
        <v>0</v>
      </c>
      <c r="K64" s="32" t="str">
        <f aca="false">IF(J64="","",IF(J64&gt;=20,"CRITICAL",IF(J64&gt;=12,"HIGH",IF(J64&gt;=6,"MEDIUM","LOW"))))</f>
        <v>LOW</v>
      </c>
      <c r="L64" s="32"/>
      <c r="M64" s="32"/>
      <c r="N64" s="32" t="n">
        <f aca="false">IF(J64="","",MAX(1,J64-IFERROR(M64*2,0)))</f>
        <v>1</v>
      </c>
      <c r="O64" s="32" t="str">
        <f aca="false">IF(N64="","",IF(N64&gt;=16,"CRITICAL",IF(N64&gt;=8,"HIGH",IF(N64&gt;=4,"MEDIUM","LOW"))))</f>
        <v>LOW</v>
      </c>
      <c r="P64" s="32"/>
      <c r="Q64" s="32"/>
      <c r="R64" s="32"/>
      <c r="S64" s="32"/>
      <c r="T64" s="128" t="s">
        <v>1706</v>
      </c>
      <c r="U64" s="32"/>
      <c r="V64" s="32"/>
    </row>
    <row r="65" customFormat="false" ht="45" hidden="false" customHeight="true" outlineLevel="0" collapsed="false">
      <c r="A65" s="45" t="s">
        <v>1815</v>
      </c>
      <c r="B65" s="113" t="s">
        <v>280</v>
      </c>
      <c r="C65" s="23" t="s">
        <v>204</v>
      </c>
      <c r="D65" s="23" t="s">
        <v>1816</v>
      </c>
      <c r="E65" s="23"/>
      <c r="F65" s="23"/>
      <c r="G65" s="23"/>
      <c r="H65" s="23"/>
      <c r="I65" s="23"/>
      <c r="J65" s="23" t="n">
        <f aca="false">H65*I65</f>
        <v>0</v>
      </c>
      <c r="K65" s="23" t="str">
        <f aca="false">IF(J65="","",IF(J65&gt;=20,"CRITICAL",IF(J65&gt;=12,"HIGH",IF(J65&gt;=6,"MEDIUM","LOW"))))</f>
        <v>LOW</v>
      </c>
      <c r="L65" s="23"/>
      <c r="M65" s="23"/>
      <c r="N65" s="23" t="n">
        <f aca="false">IF(J65="","",MAX(1,J65-IFERROR(M65*2,0)))</f>
        <v>1</v>
      </c>
      <c r="O65" s="23" t="str">
        <f aca="false">IF(N65="","",IF(N65&gt;=16,"CRITICAL",IF(N65&gt;=8,"HIGH",IF(N65&gt;=4,"MEDIUM","LOW"))))</f>
        <v>LOW</v>
      </c>
      <c r="P65" s="23"/>
      <c r="Q65" s="23"/>
      <c r="R65" s="23"/>
      <c r="S65" s="23"/>
      <c r="T65" s="128" t="s">
        <v>1706</v>
      </c>
      <c r="U65" s="23"/>
      <c r="V65" s="23"/>
    </row>
    <row r="66" customFormat="false" ht="45" hidden="false" customHeight="true" outlineLevel="0" collapsed="false">
      <c r="A66" s="47" t="s">
        <v>1817</v>
      </c>
      <c r="B66" s="112" t="s">
        <v>283</v>
      </c>
      <c r="C66" s="32" t="s">
        <v>204</v>
      </c>
      <c r="D66" s="32" t="s">
        <v>1818</v>
      </c>
      <c r="E66" s="32"/>
      <c r="F66" s="32"/>
      <c r="G66" s="32"/>
      <c r="H66" s="32"/>
      <c r="I66" s="32"/>
      <c r="J66" s="32" t="n">
        <f aca="false">H66*I66</f>
        <v>0</v>
      </c>
      <c r="K66" s="32" t="str">
        <f aca="false">IF(J66="","",IF(J66&gt;=20,"CRITICAL",IF(J66&gt;=12,"HIGH",IF(J66&gt;=6,"MEDIUM","LOW"))))</f>
        <v>LOW</v>
      </c>
      <c r="L66" s="32"/>
      <c r="M66" s="32"/>
      <c r="N66" s="32" t="n">
        <f aca="false">IF(J66="","",MAX(1,J66-IFERROR(M66*2,0)))</f>
        <v>1</v>
      </c>
      <c r="O66" s="32" t="str">
        <f aca="false">IF(N66="","",IF(N66&gt;=16,"CRITICAL",IF(N66&gt;=8,"HIGH",IF(N66&gt;=4,"MEDIUM","LOW"))))</f>
        <v>LOW</v>
      </c>
      <c r="P66" s="32"/>
      <c r="Q66" s="32"/>
      <c r="R66" s="32"/>
      <c r="S66" s="32"/>
      <c r="T66" s="128" t="s">
        <v>1706</v>
      </c>
      <c r="U66" s="32"/>
      <c r="V66" s="32"/>
    </row>
    <row r="67" customFormat="false" ht="45" hidden="false" customHeight="true" outlineLevel="0" collapsed="false">
      <c r="A67" s="45" t="s">
        <v>1819</v>
      </c>
      <c r="B67" s="113" t="s">
        <v>286</v>
      </c>
      <c r="C67" s="23" t="s">
        <v>204</v>
      </c>
      <c r="D67" s="23" t="s">
        <v>287</v>
      </c>
      <c r="E67" s="23"/>
      <c r="F67" s="23"/>
      <c r="G67" s="23"/>
      <c r="H67" s="23"/>
      <c r="I67" s="23"/>
      <c r="J67" s="23" t="n">
        <f aca="false">H67*I67</f>
        <v>0</v>
      </c>
      <c r="K67" s="23" t="str">
        <f aca="false">IF(J67="","",IF(J67&gt;=20,"CRITICAL",IF(J67&gt;=12,"HIGH",IF(J67&gt;=6,"MEDIUM","LOW"))))</f>
        <v>LOW</v>
      </c>
      <c r="L67" s="23"/>
      <c r="M67" s="23"/>
      <c r="N67" s="23" t="n">
        <f aca="false">IF(J67="","",MAX(1,J67-IFERROR(M67*2,0)))</f>
        <v>1</v>
      </c>
      <c r="O67" s="23" t="str">
        <f aca="false">IF(N67="","",IF(N67&gt;=16,"CRITICAL",IF(N67&gt;=8,"HIGH",IF(N67&gt;=4,"MEDIUM","LOW"))))</f>
        <v>LOW</v>
      </c>
      <c r="P67" s="23"/>
      <c r="Q67" s="23"/>
      <c r="R67" s="23"/>
      <c r="S67" s="23"/>
      <c r="T67" s="128" t="s">
        <v>1706</v>
      </c>
      <c r="U67" s="23"/>
      <c r="V67" s="23"/>
    </row>
    <row r="68" customFormat="false" ht="45" hidden="false" customHeight="true" outlineLevel="0" collapsed="false">
      <c r="A68" s="47" t="s">
        <v>1820</v>
      </c>
      <c r="B68" s="112" t="s">
        <v>289</v>
      </c>
      <c r="C68" s="32" t="s">
        <v>204</v>
      </c>
      <c r="D68" s="32" t="s">
        <v>1821</v>
      </c>
      <c r="E68" s="32"/>
      <c r="F68" s="32"/>
      <c r="G68" s="32"/>
      <c r="H68" s="32"/>
      <c r="I68" s="32"/>
      <c r="J68" s="32" t="n">
        <f aca="false">H68*I68</f>
        <v>0</v>
      </c>
      <c r="K68" s="32" t="str">
        <f aca="false">IF(J68="","",IF(J68&gt;=20,"CRITICAL",IF(J68&gt;=12,"HIGH",IF(J68&gt;=6,"MEDIUM","LOW"))))</f>
        <v>LOW</v>
      </c>
      <c r="L68" s="32"/>
      <c r="M68" s="32"/>
      <c r="N68" s="32" t="n">
        <f aca="false">IF(J68="","",MAX(1,J68-IFERROR(M68*2,0)))</f>
        <v>1</v>
      </c>
      <c r="O68" s="32" t="str">
        <f aca="false">IF(N68="","",IF(N68&gt;=16,"CRITICAL",IF(N68&gt;=8,"HIGH",IF(N68&gt;=4,"MEDIUM","LOW"))))</f>
        <v>LOW</v>
      </c>
      <c r="P68" s="32"/>
      <c r="Q68" s="32"/>
      <c r="R68" s="32"/>
      <c r="S68" s="32"/>
      <c r="T68" s="128" t="s">
        <v>1706</v>
      </c>
      <c r="U68" s="32"/>
      <c r="V68" s="32"/>
    </row>
    <row r="69" customFormat="false" ht="45" hidden="false" customHeight="true" outlineLevel="0" collapsed="false">
      <c r="A69" s="45" t="s">
        <v>1822</v>
      </c>
      <c r="B69" s="113" t="s">
        <v>292</v>
      </c>
      <c r="C69" s="23" t="s">
        <v>204</v>
      </c>
      <c r="D69" s="23" t="s">
        <v>1823</v>
      </c>
      <c r="E69" s="23"/>
      <c r="F69" s="23"/>
      <c r="G69" s="23"/>
      <c r="H69" s="23"/>
      <c r="I69" s="23"/>
      <c r="J69" s="23" t="n">
        <f aca="false">H69*I69</f>
        <v>0</v>
      </c>
      <c r="K69" s="23" t="str">
        <f aca="false">IF(J69="","",IF(J69&gt;=20,"CRITICAL",IF(J69&gt;=12,"HIGH",IF(J69&gt;=6,"MEDIUM","LOW"))))</f>
        <v>LOW</v>
      </c>
      <c r="L69" s="23"/>
      <c r="M69" s="23"/>
      <c r="N69" s="23" t="n">
        <f aca="false">IF(J69="","",MAX(1,J69-IFERROR(M69*2,0)))</f>
        <v>1</v>
      </c>
      <c r="O69" s="23" t="str">
        <f aca="false">IF(N69="","",IF(N69&gt;=16,"CRITICAL",IF(N69&gt;=8,"HIGH",IF(N69&gt;=4,"MEDIUM","LOW"))))</f>
        <v>LOW</v>
      </c>
      <c r="P69" s="23"/>
      <c r="Q69" s="23"/>
      <c r="R69" s="23"/>
      <c r="S69" s="23"/>
      <c r="T69" s="128" t="s">
        <v>1706</v>
      </c>
      <c r="U69" s="23"/>
      <c r="V69" s="23"/>
    </row>
    <row r="70" customFormat="false" ht="45" hidden="false" customHeight="true" outlineLevel="0" collapsed="false">
      <c r="A70" s="47" t="s">
        <v>1824</v>
      </c>
      <c r="B70" s="112" t="s">
        <v>295</v>
      </c>
      <c r="C70" s="32" t="s">
        <v>204</v>
      </c>
      <c r="D70" s="32" t="s">
        <v>1825</v>
      </c>
      <c r="E70" s="32"/>
      <c r="F70" s="32"/>
      <c r="G70" s="32"/>
      <c r="H70" s="32"/>
      <c r="I70" s="32"/>
      <c r="J70" s="32" t="n">
        <f aca="false">H70*I70</f>
        <v>0</v>
      </c>
      <c r="K70" s="32" t="str">
        <f aca="false">IF(J70="","",IF(J70&gt;=20,"CRITICAL",IF(J70&gt;=12,"HIGH",IF(J70&gt;=6,"MEDIUM","LOW"))))</f>
        <v>LOW</v>
      </c>
      <c r="L70" s="32"/>
      <c r="M70" s="32"/>
      <c r="N70" s="32" t="n">
        <f aca="false">IF(J70="","",MAX(1,J70-IFERROR(M70*2,0)))</f>
        <v>1</v>
      </c>
      <c r="O70" s="32" t="str">
        <f aca="false">IF(N70="","",IF(N70&gt;=16,"CRITICAL",IF(N70&gt;=8,"HIGH",IF(N70&gt;=4,"MEDIUM","LOW"))))</f>
        <v>LOW</v>
      </c>
      <c r="P70" s="32"/>
      <c r="Q70" s="32"/>
      <c r="R70" s="32"/>
      <c r="S70" s="32"/>
      <c r="T70" s="128" t="s">
        <v>1706</v>
      </c>
      <c r="U70" s="32"/>
      <c r="V70" s="32"/>
    </row>
    <row r="71" customFormat="false" ht="45" hidden="false" customHeight="true" outlineLevel="0" collapsed="false">
      <c r="A71" s="45" t="s">
        <v>1826</v>
      </c>
      <c r="B71" s="113" t="s">
        <v>298</v>
      </c>
      <c r="C71" s="23" t="s">
        <v>204</v>
      </c>
      <c r="D71" s="23" t="s">
        <v>1827</v>
      </c>
      <c r="E71" s="23"/>
      <c r="F71" s="23"/>
      <c r="G71" s="23"/>
      <c r="H71" s="23"/>
      <c r="I71" s="23"/>
      <c r="J71" s="23" t="n">
        <f aca="false">H71*I71</f>
        <v>0</v>
      </c>
      <c r="K71" s="23" t="str">
        <f aca="false">IF(J71="","",IF(J71&gt;=20,"CRITICAL",IF(J71&gt;=12,"HIGH",IF(J71&gt;=6,"MEDIUM","LOW"))))</f>
        <v>LOW</v>
      </c>
      <c r="L71" s="23"/>
      <c r="M71" s="23"/>
      <c r="N71" s="23" t="n">
        <f aca="false">IF(J71="","",MAX(1,J71-IFERROR(M71*2,0)))</f>
        <v>1</v>
      </c>
      <c r="O71" s="23" t="str">
        <f aca="false">IF(N71="","",IF(N71&gt;=16,"CRITICAL",IF(N71&gt;=8,"HIGH",IF(N71&gt;=4,"MEDIUM","LOW"))))</f>
        <v>LOW</v>
      </c>
      <c r="P71" s="23"/>
      <c r="Q71" s="23"/>
      <c r="R71" s="23"/>
      <c r="S71" s="23"/>
      <c r="T71" s="128" t="s">
        <v>1706</v>
      </c>
      <c r="U71" s="23"/>
      <c r="V71" s="23"/>
    </row>
    <row r="72" customFormat="false" ht="45" hidden="false" customHeight="true" outlineLevel="0" collapsed="false">
      <c r="A72" s="47" t="s">
        <v>1828</v>
      </c>
      <c r="B72" s="112" t="s">
        <v>301</v>
      </c>
      <c r="C72" s="32" t="s">
        <v>204</v>
      </c>
      <c r="D72" s="32" t="s">
        <v>1829</v>
      </c>
      <c r="E72" s="32"/>
      <c r="F72" s="32"/>
      <c r="G72" s="32"/>
      <c r="H72" s="32"/>
      <c r="I72" s="32"/>
      <c r="J72" s="32" t="n">
        <f aca="false">H72*I72</f>
        <v>0</v>
      </c>
      <c r="K72" s="32" t="str">
        <f aca="false">IF(J72="","",IF(J72&gt;=20,"CRITICAL",IF(J72&gt;=12,"HIGH",IF(J72&gt;=6,"MEDIUM","LOW"))))</f>
        <v>LOW</v>
      </c>
      <c r="L72" s="32"/>
      <c r="M72" s="32"/>
      <c r="N72" s="32" t="n">
        <f aca="false">IF(J72="","",MAX(1,J72-IFERROR(M72*2,0)))</f>
        <v>1</v>
      </c>
      <c r="O72" s="32" t="str">
        <f aca="false">IF(N72="","",IF(N72&gt;=16,"CRITICAL",IF(N72&gt;=8,"HIGH",IF(N72&gt;=4,"MEDIUM","LOW"))))</f>
        <v>LOW</v>
      </c>
      <c r="P72" s="32"/>
      <c r="Q72" s="32"/>
      <c r="R72" s="32"/>
      <c r="S72" s="32"/>
      <c r="T72" s="128" t="s">
        <v>1706</v>
      </c>
      <c r="U72" s="32"/>
      <c r="V72" s="32"/>
    </row>
    <row r="73" customFormat="false" ht="45" hidden="false" customHeight="true" outlineLevel="0" collapsed="false">
      <c r="A73" s="45" t="s">
        <v>1830</v>
      </c>
      <c r="B73" s="113" t="s">
        <v>305</v>
      </c>
      <c r="C73" s="23" t="s">
        <v>204</v>
      </c>
      <c r="D73" s="23" t="s">
        <v>1831</v>
      </c>
      <c r="E73" s="23"/>
      <c r="F73" s="23"/>
      <c r="G73" s="23"/>
      <c r="H73" s="23"/>
      <c r="I73" s="23"/>
      <c r="J73" s="23" t="n">
        <f aca="false">H73*I73</f>
        <v>0</v>
      </c>
      <c r="K73" s="23" t="str">
        <f aca="false">IF(J73="","",IF(J73&gt;=20,"CRITICAL",IF(J73&gt;=12,"HIGH",IF(J73&gt;=6,"MEDIUM","LOW"))))</f>
        <v>LOW</v>
      </c>
      <c r="L73" s="23"/>
      <c r="M73" s="23"/>
      <c r="N73" s="23" t="n">
        <f aca="false">IF(J73="","",MAX(1,J73-IFERROR(M73*2,0)))</f>
        <v>1</v>
      </c>
      <c r="O73" s="23" t="str">
        <f aca="false">IF(N73="","",IF(N73&gt;=16,"CRITICAL",IF(N73&gt;=8,"HIGH",IF(N73&gt;=4,"MEDIUM","LOW"))))</f>
        <v>LOW</v>
      </c>
      <c r="P73" s="23"/>
      <c r="Q73" s="23"/>
      <c r="R73" s="23"/>
      <c r="S73" s="23"/>
      <c r="T73" s="128" t="s">
        <v>1706</v>
      </c>
      <c r="U73" s="23"/>
      <c r="V73" s="23"/>
    </row>
    <row r="74" customFormat="false" ht="45" hidden="false" customHeight="true" outlineLevel="0" collapsed="false">
      <c r="A74" s="47" t="s">
        <v>1832</v>
      </c>
      <c r="B74" s="112" t="s">
        <v>308</v>
      </c>
      <c r="C74" s="32" t="s">
        <v>204</v>
      </c>
      <c r="D74" s="32" t="s">
        <v>1833</v>
      </c>
      <c r="E74" s="32"/>
      <c r="F74" s="32"/>
      <c r="G74" s="32"/>
      <c r="H74" s="32"/>
      <c r="I74" s="32"/>
      <c r="J74" s="32" t="n">
        <f aca="false">H74*I74</f>
        <v>0</v>
      </c>
      <c r="K74" s="32" t="str">
        <f aca="false">IF(J74="","",IF(J74&gt;=20,"CRITICAL",IF(J74&gt;=12,"HIGH",IF(J74&gt;=6,"MEDIUM","LOW"))))</f>
        <v>LOW</v>
      </c>
      <c r="L74" s="32"/>
      <c r="M74" s="32"/>
      <c r="N74" s="32" t="n">
        <f aca="false">IF(J74="","",MAX(1,J74-IFERROR(M74*2,0)))</f>
        <v>1</v>
      </c>
      <c r="O74" s="32" t="str">
        <f aca="false">IF(N74="","",IF(N74&gt;=16,"CRITICAL",IF(N74&gt;=8,"HIGH",IF(N74&gt;=4,"MEDIUM","LOW"))))</f>
        <v>LOW</v>
      </c>
      <c r="P74" s="32"/>
      <c r="Q74" s="32"/>
      <c r="R74" s="32"/>
      <c r="S74" s="32"/>
      <c r="T74" s="128" t="s">
        <v>1706</v>
      </c>
      <c r="U74" s="32"/>
      <c r="V74" s="32"/>
    </row>
    <row r="75" customFormat="false" ht="45" hidden="false" customHeight="true" outlineLevel="0" collapsed="false">
      <c r="A75" s="45" t="s">
        <v>1834</v>
      </c>
      <c r="B75" s="113" t="s">
        <v>312</v>
      </c>
      <c r="C75" s="23" t="s">
        <v>204</v>
      </c>
      <c r="D75" s="23" t="s">
        <v>1835</v>
      </c>
      <c r="E75" s="23"/>
      <c r="F75" s="23"/>
      <c r="G75" s="23"/>
      <c r="H75" s="23"/>
      <c r="I75" s="23"/>
      <c r="J75" s="23" t="n">
        <f aca="false">H75*I75</f>
        <v>0</v>
      </c>
      <c r="K75" s="23" t="str">
        <f aca="false">IF(J75="","",IF(J75&gt;=20,"CRITICAL",IF(J75&gt;=12,"HIGH",IF(J75&gt;=6,"MEDIUM","LOW"))))</f>
        <v>LOW</v>
      </c>
      <c r="L75" s="23"/>
      <c r="M75" s="23"/>
      <c r="N75" s="23" t="n">
        <f aca="false">IF(J75="","",MAX(1,J75-IFERROR(M75*2,0)))</f>
        <v>1</v>
      </c>
      <c r="O75" s="23" t="str">
        <f aca="false">IF(N75="","",IF(N75&gt;=16,"CRITICAL",IF(N75&gt;=8,"HIGH",IF(N75&gt;=4,"MEDIUM","LOW"))))</f>
        <v>LOW</v>
      </c>
      <c r="P75" s="23"/>
      <c r="Q75" s="23"/>
      <c r="R75" s="23"/>
      <c r="S75" s="23"/>
      <c r="T75" s="128" t="s">
        <v>1706</v>
      </c>
      <c r="U75" s="23"/>
      <c r="V75" s="23"/>
    </row>
    <row r="76" customFormat="false" ht="45" hidden="false" customHeight="true" outlineLevel="0" collapsed="false">
      <c r="A76" s="47" t="s">
        <v>1836</v>
      </c>
      <c r="B76" s="112" t="s">
        <v>315</v>
      </c>
      <c r="C76" s="32" t="s">
        <v>204</v>
      </c>
      <c r="D76" s="32" t="s">
        <v>1837</v>
      </c>
      <c r="E76" s="32"/>
      <c r="F76" s="32"/>
      <c r="G76" s="32"/>
      <c r="H76" s="32"/>
      <c r="I76" s="32"/>
      <c r="J76" s="32" t="n">
        <f aca="false">H76*I76</f>
        <v>0</v>
      </c>
      <c r="K76" s="32" t="str">
        <f aca="false">IF(J76="","",IF(J76&gt;=20,"CRITICAL",IF(J76&gt;=12,"HIGH",IF(J76&gt;=6,"MEDIUM","LOW"))))</f>
        <v>LOW</v>
      </c>
      <c r="L76" s="32"/>
      <c r="M76" s="32"/>
      <c r="N76" s="32" t="n">
        <f aca="false">IF(J76="","",MAX(1,J76-IFERROR(M76*2,0)))</f>
        <v>1</v>
      </c>
      <c r="O76" s="32" t="str">
        <f aca="false">IF(N76="","",IF(N76&gt;=16,"CRITICAL",IF(N76&gt;=8,"HIGH",IF(N76&gt;=4,"MEDIUM","LOW"))))</f>
        <v>LOW</v>
      </c>
      <c r="P76" s="32"/>
      <c r="Q76" s="32"/>
      <c r="R76" s="32"/>
      <c r="S76" s="32"/>
      <c r="T76" s="128" t="s">
        <v>1706</v>
      </c>
      <c r="U76" s="32"/>
      <c r="V76" s="32"/>
    </row>
    <row r="77" customFormat="false" ht="45" hidden="false" customHeight="true" outlineLevel="0" collapsed="false">
      <c r="A77" s="45" t="s">
        <v>1838</v>
      </c>
      <c r="B77" s="113" t="s">
        <v>319</v>
      </c>
      <c r="C77" s="23" t="s">
        <v>204</v>
      </c>
      <c r="D77" s="23" t="s">
        <v>1839</v>
      </c>
      <c r="E77" s="23"/>
      <c r="F77" s="23"/>
      <c r="G77" s="23"/>
      <c r="H77" s="23"/>
      <c r="I77" s="23"/>
      <c r="J77" s="23" t="n">
        <f aca="false">H77*I77</f>
        <v>0</v>
      </c>
      <c r="K77" s="23" t="str">
        <f aca="false">IF(J77="","",IF(J77&gt;=20,"CRITICAL",IF(J77&gt;=12,"HIGH",IF(J77&gt;=6,"MEDIUM","LOW"))))</f>
        <v>LOW</v>
      </c>
      <c r="L77" s="23"/>
      <c r="M77" s="23"/>
      <c r="N77" s="23" t="n">
        <f aca="false">IF(J77="","",MAX(1,J77-IFERROR(M77*2,0)))</f>
        <v>1</v>
      </c>
      <c r="O77" s="23" t="str">
        <f aca="false">IF(N77="","",IF(N77&gt;=16,"CRITICAL",IF(N77&gt;=8,"HIGH",IF(N77&gt;=4,"MEDIUM","LOW"))))</f>
        <v>LOW</v>
      </c>
      <c r="P77" s="23"/>
      <c r="Q77" s="23"/>
      <c r="R77" s="23"/>
      <c r="S77" s="23"/>
      <c r="T77" s="128" t="s">
        <v>1706</v>
      </c>
      <c r="U77" s="23"/>
      <c r="V77" s="23"/>
    </row>
    <row r="78" customFormat="false" ht="45" hidden="false" customHeight="true" outlineLevel="0" collapsed="false">
      <c r="A78" s="47" t="s">
        <v>1840</v>
      </c>
      <c r="B78" s="44" t="s">
        <v>323</v>
      </c>
      <c r="C78" s="32" t="s">
        <v>322</v>
      </c>
      <c r="D78" s="32" t="s">
        <v>1841</v>
      </c>
      <c r="E78" s="32"/>
      <c r="F78" s="32"/>
      <c r="G78" s="32"/>
      <c r="H78" s="32"/>
      <c r="I78" s="32"/>
      <c r="J78" s="32" t="n">
        <f aca="false">H78*I78</f>
        <v>0</v>
      </c>
      <c r="K78" s="32" t="str">
        <f aca="false">IF(J78="","",IF(J78&gt;=20,"CRITICAL",IF(J78&gt;=12,"HIGH",IF(J78&gt;=6,"MEDIUM","LOW"))))</f>
        <v>LOW</v>
      </c>
      <c r="L78" s="32"/>
      <c r="M78" s="32"/>
      <c r="N78" s="32" t="n">
        <f aca="false">IF(J78="","",MAX(1,J78-IFERROR(M78*2,0)))</f>
        <v>1</v>
      </c>
      <c r="O78" s="32" t="str">
        <f aca="false">IF(N78="","",IF(N78&gt;=16,"CRITICAL",IF(N78&gt;=8,"HIGH",IF(N78&gt;=4,"MEDIUM","LOW"))))</f>
        <v>LOW</v>
      </c>
      <c r="P78" s="32"/>
      <c r="Q78" s="32"/>
      <c r="R78" s="32"/>
      <c r="S78" s="32"/>
      <c r="T78" s="128" t="s">
        <v>1706</v>
      </c>
      <c r="U78" s="32"/>
      <c r="V78" s="32"/>
    </row>
    <row r="79" customFormat="false" ht="45" hidden="false" customHeight="true" outlineLevel="0" collapsed="false">
      <c r="A79" s="45" t="s">
        <v>1842</v>
      </c>
      <c r="B79" s="96" t="s">
        <v>327</v>
      </c>
      <c r="C79" s="23" t="s">
        <v>322</v>
      </c>
      <c r="D79" s="23" t="s">
        <v>1843</v>
      </c>
      <c r="E79" s="23"/>
      <c r="F79" s="23"/>
      <c r="G79" s="23"/>
      <c r="H79" s="23"/>
      <c r="I79" s="23"/>
      <c r="J79" s="23" t="n">
        <f aca="false">H79*I79</f>
        <v>0</v>
      </c>
      <c r="K79" s="23" t="str">
        <f aca="false">IF(J79="","",IF(J79&gt;=20,"CRITICAL",IF(J79&gt;=12,"HIGH",IF(J79&gt;=6,"MEDIUM","LOW"))))</f>
        <v>LOW</v>
      </c>
      <c r="L79" s="23"/>
      <c r="M79" s="23"/>
      <c r="N79" s="23" t="n">
        <f aca="false">IF(J79="","",MAX(1,J79-IFERROR(M79*2,0)))</f>
        <v>1</v>
      </c>
      <c r="O79" s="23" t="str">
        <f aca="false">IF(N79="","",IF(N79&gt;=16,"CRITICAL",IF(N79&gt;=8,"HIGH",IF(N79&gt;=4,"MEDIUM","LOW"))))</f>
        <v>LOW</v>
      </c>
      <c r="P79" s="23"/>
      <c r="Q79" s="23"/>
      <c r="R79" s="23"/>
      <c r="S79" s="23"/>
      <c r="T79" s="128" t="s">
        <v>1706</v>
      </c>
      <c r="U79" s="23"/>
      <c r="V79" s="23"/>
    </row>
    <row r="80" customFormat="false" ht="45" hidden="false" customHeight="true" outlineLevel="0" collapsed="false">
      <c r="A80" s="47" t="s">
        <v>1844</v>
      </c>
      <c r="B80" s="44" t="s">
        <v>330</v>
      </c>
      <c r="C80" s="32" t="s">
        <v>322</v>
      </c>
      <c r="D80" s="32" t="s">
        <v>1845</v>
      </c>
      <c r="E80" s="32"/>
      <c r="F80" s="32"/>
      <c r="G80" s="32"/>
      <c r="H80" s="32"/>
      <c r="I80" s="32"/>
      <c r="J80" s="32" t="n">
        <f aca="false">H80*I80</f>
        <v>0</v>
      </c>
      <c r="K80" s="32" t="str">
        <f aca="false">IF(J80="","",IF(J80&gt;=20,"CRITICAL",IF(J80&gt;=12,"HIGH",IF(J80&gt;=6,"MEDIUM","LOW"))))</f>
        <v>LOW</v>
      </c>
      <c r="L80" s="32"/>
      <c r="M80" s="32"/>
      <c r="N80" s="32" t="n">
        <f aca="false">IF(J80="","",MAX(1,J80-IFERROR(M80*2,0)))</f>
        <v>1</v>
      </c>
      <c r="O80" s="32" t="str">
        <f aca="false">IF(N80="","",IF(N80&gt;=16,"CRITICAL",IF(N80&gt;=8,"HIGH",IF(N80&gt;=4,"MEDIUM","LOW"))))</f>
        <v>LOW</v>
      </c>
      <c r="P80" s="32"/>
      <c r="Q80" s="32"/>
      <c r="R80" s="32"/>
      <c r="S80" s="32"/>
      <c r="T80" s="128" t="s">
        <v>1706</v>
      </c>
      <c r="U80" s="32"/>
      <c r="V80" s="32"/>
    </row>
    <row r="81" customFormat="false" ht="45" hidden="false" customHeight="true" outlineLevel="0" collapsed="false">
      <c r="A81" s="45" t="s">
        <v>1846</v>
      </c>
      <c r="B81" s="96" t="s">
        <v>333</v>
      </c>
      <c r="C81" s="23" t="s">
        <v>322</v>
      </c>
      <c r="D81" s="23" t="s">
        <v>334</v>
      </c>
      <c r="E81" s="23"/>
      <c r="F81" s="23"/>
      <c r="G81" s="23"/>
      <c r="H81" s="23"/>
      <c r="I81" s="23"/>
      <c r="J81" s="23" t="n">
        <f aca="false">H81*I81</f>
        <v>0</v>
      </c>
      <c r="K81" s="23" t="str">
        <f aca="false">IF(J81="","",IF(J81&gt;=20,"CRITICAL",IF(J81&gt;=12,"HIGH",IF(J81&gt;=6,"MEDIUM","LOW"))))</f>
        <v>LOW</v>
      </c>
      <c r="L81" s="23"/>
      <c r="M81" s="23"/>
      <c r="N81" s="23" t="n">
        <f aca="false">IF(J81="","",MAX(1,J81-IFERROR(M81*2,0)))</f>
        <v>1</v>
      </c>
      <c r="O81" s="23" t="str">
        <f aca="false">IF(N81="","",IF(N81&gt;=16,"CRITICAL",IF(N81&gt;=8,"HIGH",IF(N81&gt;=4,"MEDIUM","LOW"))))</f>
        <v>LOW</v>
      </c>
      <c r="P81" s="23"/>
      <c r="Q81" s="23"/>
      <c r="R81" s="23"/>
      <c r="S81" s="23"/>
      <c r="T81" s="128" t="s">
        <v>1706</v>
      </c>
      <c r="U81" s="23"/>
      <c r="V81" s="23"/>
    </row>
    <row r="82" customFormat="false" ht="45" hidden="false" customHeight="true" outlineLevel="0" collapsed="false">
      <c r="A82" s="47" t="s">
        <v>1847</v>
      </c>
      <c r="B82" s="44" t="s">
        <v>336</v>
      </c>
      <c r="C82" s="32" t="s">
        <v>322</v>
      </c>
      <c r="D82" s="32" t="s">
        <v>1848</v>
      </c>
      <c r="E82" s="32"/>
      <c r="F82" s="32"/>
      <c r="G82" s="32"/>
      <c r="H82" s="32"/>
      <c r="I82" s="32"/>
      <c r="J82" s="32" t="n">
        <f aca="false">H82*I82</f>
        <v>0</v>
      </c>
      <c r="K82" s="32" t="str">
        <f aca="false">IF(J82="","",IF(J82&gt;=20,"CRITICAL",IF(J82&gt;=12,"HIGH",IF(J82&gt;=6,"MEDIUM","LOW"))))</f>
        <v>LOW</v>
      </c>
      <c r="L82" s="32"/>
      <c r="M82" s="32"/>
      <c r="N82" s="32" t="n">
        <f aca="false">IF(J82="","",MAX(1,J82-IFERROR(M82*2,0)))</f>
        <v>1</v>
      </c>
      <c r="O82" s="32" t="str">
        <f aca="false">IF(N82="","",IF(N82&gt;=16,"CRITICAL",IF(N82&gt;=8,"HIGH",IF(N82&gt;=4,"MEDIUM","LOW"))))</f>
        <v>LOW</v>
      </c>
      <c r="P82" s="32"/>
      <c r="Q82" s="32"/>
      <c r="R82" s="32"/>
      <c r="S82" s="32"/>
      <c r="T82" s="128" t="s">
        <v>1706</v>
      </c>
      <c r="U82" s="32"/>
      <c r="V82" s="32"/>
    </row>
    <row r="83" customFormat="false" ht="45" hidden="false" customHeight="true" outlineLevel="0" collapsed="false">
      <c r="A83" s="45" t="s">
        <v>1849</v>
      </c>
      <c r="B83" s="96" t="s">
        <v>339</v>
      </c>
      <c r="C83" s="23" t="s">
        <v>322</v>
      </c>
      <c r="D83" s="23" t="s">
        <v>1850</v>
      </c>
      <c r="E83" s="23"/>
      <c r="F83" s="23"/>
      <c r="G83" s="23"/>
      <c r="H83" s="23"/>
      <c r="I83" s="23"/>
      <c r="J83" s="23" t="n">
        <f aca="false">H83*I83</f>
        <v>0</v>
      </c>
      <c r="K83" s="23" t="str">
        <f aca="false">IF(J83="","",IF(J83&gt;=20,"CRITICAL",IF(J83&gt;=12,"HIGH",IF(J83&gt;=6,"MEDIUM","LOW"))))</f>
        <v>LOW</v>
      </c>
      <c r="L83" s="23"/>
      <c r="M83" s="23"/>
      <c r="N83" s="23" t="n">
        <f aca="false">IF(J83="","",MAX(1,J83-IFERROR(M83*2,0)))</f>
        <v>1</v>
      </c>
      <c r="O83" s="23" t="str">
        <f aca="false">IF(N83="","",IF(N83&gt;=16,"CRITICAL",IF(N83&gt;=8,"HIGH",IF(N83&gt;=4,"MEDIUM","LOW"))))</f>
        <v>LOW</v>
      </c>
      <c r="P83" s="23"/>
      <c r="Q83" s="23"/>
      <c r="R83" s="23"/>
      <c r="S83" s="23"/>
      <c r="T83" s="128" t="s">
        <v>1706</v>
      </c>
      <c r="U83" s="23"/>
      <c r="V83" s="23"/>
    </row>
    <row r="84" customFormat="false" ht="45" hidden="false" customHeight="true" outlineLevel="0" collapsed="false">
      <c r="A84" s="47" t="s">
        <v>1851</v>
      </c>
      <c r="B84" s="44" t="s">
        <v>342</v>
      </c>
      <c r="C84" s="32" t="s">
        <v>322</v>
      </c>
      <c r="D84" s="32" t="s">
        <v>1852</v>
      </c>
      <c r="E84" s="32"/>
      <c r="F84" s="32"/>
      <c r="G84" s="32"/>
      <c r="H84" s="32"/>
      <c r="I84" s="32"/>
      <c r="J84" s="32" t="n">
        <f aca="false">H84*I84</f>
        <v>0</v>
      </c>
      <c r="K84" s="32" t="str">
        <f aca="false">IF(J84="","",IF(J84&gt;=20,"CRITICAL",IF(J84&gt;=12,"HIGH",IF(J84&gt;=6,"MEDIUM","LOW"))))</f>
        <v>LOW</v>
      </c>
      <c r="L84" s="32"/>
      <c r="M84" s="32"/>
      <c r="N84" s="32" t="n">
        <f aca="false">IF(J84="","",MAX(1,J84-IFERROR(M84*2,0)))</f>
        <v>1</v>
      </c>
      <c r="O84" s="32" t="str">
        <f aca="false">IF(N84="","",IF(N84&gt;=16,"CRITICAL",IF(N84&gt;=8,"HIGH",IF(N84&gt;=4,"MEDIUM","LOW"))))</f>
        <v>LOW</v>
      </c>
      <c r="P84" s="32"/>
      <c r="Q84" s="32"/>
      <c r="R84" s="32"/>
      <c r="S84" s="32"/>
      <c r="T84" s="128" t="s">
        <v>1706</v>
      </c>
      <c r="U84" s="32"/>
      <c r="V84" s="32"/>
    </row>
    <row r="85" customFormat="false" ht="45" hidden="false" customHeight="true" outlineLevel="0" collapsed="false">
      <c r="A85" s="45" t="s">
        <v>1853</v>
      </c>
      <c r="B85" s="96" t="s">
        <v>345</v>
      </c>
      <c r="C85" s="23" t="s">
        <v>322</v>
      </c>
      <c r="D85" s="23" t="s">
        <v>1854</v>
      </c>
      <c r="E85" s="23"/>
      <c r="F85" s="23"/>
      <c r="G85" s="23"/>
      <c r="H85" s="23"/>
      <c r="I85" s="23"/>
      <c r="J85" s="23" t="n">
        <f aca="false">H85*I85</f>
        <v>0</v>
      </c>
      <c r="K85" s="23" t="str">
        <f aca="false">IF(J85="","",IF(J85&gt;=20,"CRITICAL",IF(J85&gt;=12,"HIGH",IF(J85&gt;=6,"MEDIUM","LOW"))))</f>
        <v>LOW</v>
      </c>
      <c r="L85" s="23"/>
      <c r="M85" s="23"/>
      <c r="N85" s="23" t="n">
        <f aca="false">IF(J85="","",MAX(1,J85-IFERROR(M85*2,0)))</f>
        <v>1</v>
      </c>
      <c r="O85" s="23" t="str">
        <f aca="false">IF(N85="","",IF(N85&gt;=16,"CRITICAL",IF(N85&gt;=8,"HIGH",IF(N85&gt;=4,"MEDIUM","LOW"))))</f>
        <v>LOW</v>
      </c>
      <c r="P85" s="23"/>
      <c r="Q85" s="23"/>
      <c r="R85" s="23"/>
      <c r="S85" s="23"/>
      <c r="T85" s="128" t="s">
        <v>1706</v>
      </c>
      <c r="U85" s="23"/>
      <c r="V85" s="23"/>
    </row>
    <row r="86" customFormat="false" ht="45" hidden="false" customHeight="true" outlineLevel="0" collapsed="false">
      <c r="A86" s="47" t="s">
        <v>1855</v>
      </c>
      <c r="B86" s="114" t="s">
        <v>349</v>
      </c>
      <c r="C86" s="32" t="s">
        <v>348</v>
      </c>
      <c r="D86" s="32" t="s">
        <v>1856</v>
      </c>
      <c r="E86" s="32"/>
      <c r="F86" s="32"/>
      <c r="G86" s="32"/>
      <c r="H86" s="32"/>
      <c r="I86" s="32"/>
      <c r="J86" s="32" t="n">
        <f aca="false">H86*I86</f>
        <v>0</v>
      </c>
      <c r="K86" s="32" t="str">
        <f aca="false">IF(J86="","",IF(J86&gt;=20,"CRITICAL",IF(J86&gt;=12,"HIGH",IF(J86&gt;=6,"MEDIUM","LOW"))))</f>
        <v>LOW</v>
      </c>
      <c r="L86" s="32"/>
      <c r="M86" s="32"/>
      <c r="N86" s="32" t="n">
        <f aca="false">IF(J86="","",MAX(1,J86-IFERROR(M86*2,0)))</f>
        <v>1</v>
      </c>
      <c r="O86" s="32" t="str">
        <f aca="false">IF(N86="","",IF(N86&gt;=16,"CRITICAL",IF(N86&gt;=8,"HIGH",IF(N86&gt;=4,"MEDIUM","LOW"))))</f>
        <v>LOW</v>
      </c>
      <c r="P86" s="32"/>
      <c r="Q86" s="32"/>
      <c r="R86" s="32"/>
      <c r="S86" s="32"/>
      <c r="T86" s="128" t="s">
        <v>1706</v>
      </c>
      <c r="U86" s="32"/>
      <c r="V86" s="32"/>
    </row>
    <row r="87" customFormat="false" ht="45" hidden="false" customHeight="true" outlineLevel="0" collapsed="false">
      <c r="A87" s="45" t="s">
        <v>1857</v>
      </c>
      <c r="B87" s="115" t="s">
        <v>353</v>
      </c>
      <c r="C87" s="23" t="s">
        <v>348</v>
      </c>
      <c r="D87" s="23" t="s">
        <v>1843</v>
      </c>
      <c r="E87" s="23"/>
      <c r="F87" s="23"/>
      <c r="G87" s="23"/>
      <c r="H87" s="23"/>
      <c r="I87" s="23"/>
      <c r="J87" s="23" t="n">
        <f aca="false">H87*I87</f>
        <v>0</v>
      </c>
      <c r="K87" s="23" t="str">
        <f aca="false">IF(J87="","",IF(J87&gt;=20,"CRITICAL",IF(J87&gt;=12,"HIGH",IF(J87&gt;=6,"MEDIUM","LOW"))))</f>
        <v>LOW</v>
      </c>
      <c r="L87" s="23"/>
      <c r="M87" s="23"/>
      <c r="N87" s="23" t="n">
        <f aca="false">IF(J87="","",MAX(1,J87-IFERROR(M87*2,0)))</f>
        <v>1</v>
      </c>
      <c r="O87" s="23" t="str">
        <f aca="false">IF(N87="","",IF(N87&gt;=16,"CRITICAL",IF(N87&gt;=8,"HIGH",IF(N87&gt;=4,"MEDIUM","LOW"))))</f>
        <v>LOW</v>
      </c>
      <c r="P87" s="23"/>
      <c r="Q87" s="23"/>
      <c r="R87" s="23"/>
      <c r="S87" s="23"/>
      <c r="T87" s="128" t="s">
        <v>1706</v>
      </c>
      <c r="U87" s="23"/>
      <c r="V87" s="23"/>
    </row>
    <row r="88" customFormat="false" ht="45" hidden="false" customHeight="true" outlineLevel="0" collapsed="false">
      <c r="A88" s="47" t="s">
        <v>1858</v>
      </c>
      <c r="B88" s="114" t="s">
        <v>356</v>
      </c>
      <c r="C88" s="32" t="s">
        <v>348</v>
      </c>
      <c r="D88" s="32" t="s">
        <v>1859</v>
      </c>
      <c r="E88" s="32"/>
      <c r="F88" s="32"/>
      <c r="G88" s="32"/>
      <c r="H88" s="32"/>
      <c r="I88" s="32"/>
      <c r="J88" s="32" t="n">
        <f aca="false">H88*I88</f>
        <v>0</v>
      </c>
      <c r="K88" s="32" t="str">
        <f aca="false">IF(J88="","",IF(J88&gt;=20,"CRITICAL",IF(J88&gt;=12,"HIGH",IF(J88&gt;=6,"MEDIUM","LOW"))))</f>
        <v>LOW</v>
      </c>
      <c r="L88" s="32"/>
      <c r="M88" s="32"/>
      <c r="N88" s="32" t="n">
        <f aca="false">IF(J88="","",MAX(1,J88-IFERROR(M88*2,0)))</f>
        <v>1</v>
      </c>
      <c r="O88" s="32" t="str">
        <f aca="false">IF(N88="","",IF(N88&gt;=16,"CRITICAL",IF(N88&gt;=8,"HIGH",IF(N88&gt;=4,"MEDIUM","LOW"))))</f>
        <v>LOW</v>
      </c>
      <c r="P88" s="32"/>
      <c r="Q88" s="32"/>
      <c r="R88" s="32"/>
      <c r="S88" s="32"/>
      <c r="T88" s="128" t="s">
        <v>1706</v>
      </c>
      <c r="U88" s="32"/>
      <c r="V88" s="32"/>
    </row>
    <row r="89" customFormat="false" ht="45" hidden="false" customHeight="true" outlineLevel="0" collapsed="false">
      <c r="A89" s="45" t="s">
        <v>1860</v>
      </c>
      <c r="B89" s="115" t="s">
        <v>359</v>
      </c>
      <c r="C89" s="23" t="s">
        <v>348</v>
      </c>
      <c r="D89" s="23" t="s">
        <v>360</v>
      </c>
      <c r="E89" s="23"/>
      <c r="F89" s="23"/>
      <c r="G89" s="23"/>
      <c r="H89" s="23"/>
      <c r="I89" s="23"/>
      <c r="J89" s="23" t="n">
        <f aca="false">H89*I89</f>
        <v>0</v>
      </c>
      <c r="K89" s="23" t="str">
        <f aca="false">IF(J89="","",IF(J89&gt;=20,"CRITICAL",IF(J89&gt;=12,"HIGH",IF(J89&gt;=6,"MEDIUM","LOW"))))</f>
        <v>LOW</v>
      </c>
      <c r="L89" s="23"/>
      <c r="M89" s="23"/>
      <c r="N89" s="23" t="n">
        <f aca="false">IF(J89="","",MAX(1,J89-IFERROR(M89*2,0)))</f>
        <v>1</v>
      </c>
      <c r="O89" s="23" t="str">
        <f aca="false">IF(N89="","",IF(N89&gt;=16,"CRITICAL",IF(N89&gt;=8,"HIGH",IF(N89&gt;=4,"MEDIUM","LOW"))))</f>
        <v>LOW</v>
      </c>
      <c r="P89" s="23"/>
      <c r="Q89" s="23"/>
      <c r="R89" s="23"/>
      <c r="S89" s="23"/>
      <c r="T89" s="128" t="s">
        <v>1706</v>
      </c>
      <c r="U89" s="23"/>
      <c r="V89" s="23"/>
    </row>
    <row r="90" customFormat="false" ht="45" hidden="false" customHeight="true" outlineLevel="0" collapsed="false">
      <c r="A90" s="47" t="s">
        <v>1861</v>
      </c>
      <c r="B90" s="114" t="s">
        <v>362</v>
      </c>
      <c r="C90" s="32" t="s">
        <v>348</v>
      </c>
      <c r="D90" s="32" t="s">
        <v>1862</v>
      </c>
      <c r="E90" s="32"/>
      <c r="F90" s="32"/>
      <c r="G90" s="32"/>
      <c r="H90" s="32"/>
      <c r="I90" s="32"/>
      <c r="J90" s="32" t="n">
        <f aca="false">H90*I90</f>
        <v>0</v>
      </c>
      <c r="K90" s="32" t="str">
        <f aca="false">IF(J90="","",IF(J90&gt;=20,"CRITICAL",IF(J90&gt;=12,"HIGH",IF(J90&gt;=6,"MEDIUM","LOW"))))</f>
        <v>LOW</v>
      </c>
      <c r="L90" s="32"/>
      <c r="M90" s="32"/>
      <c r="N90" s="32" t="n">
        <f aca="false">IF(J90="","",MAX(1,J90-IFERROR(M90*2,0)))</f>
        <v>1</v>
      </c>
      <c r="O90" s="32" t="str">
        <f aca="false">IF(N90="","",IF(N90&gt;=16,"CRITICAL",IF(N90&gt;=8,"HIGH",IF(N90&gt;=4,"MEDIUM","LOW"))))</f>
        <v>LOW</v>
      </c>
      <c r="P90" s="32"/>
      <c r="Q90" s="32"/>
      <c r="R90" s="32"/>
      <c r="S90" s="32"/>
      <c r="T90" s="128" t="s">
        <v>1706</v>
      </c>
      <c r="U90" s="32"/>
      <c r="V90" s="32"/>
    </row>
    <row r="91" customFormat="false" ht="45" hidden="false" customHeight="true" outlineLevel="0" collapsed="false">
      <c r="A91" s="45" t="s">
        <v>1863</v>
      </c>
      <c r="B91" s="115" t="s">
        <v>365</v>
      </c>
      <c r="C91" s="23" t="s">
        <v>348</v>
      </c>
      <c r="D91" s="23" t="s">
        <v>1864</v>
      </c>
      <c r="E91" s="23"/>
      <c r="F91" s="23"/>
      <c r="G91" s="23"/>
      <c r="H91" s="23"/>
      <c r="I91" s="23"/>
      <c r="J91" s="23" t="n">
        <f aca="false">H91*I91</f>
        <v>0</v>
      </c>
      <c r="K91" s="23" t="str">
        <f aca="false">IF(J91="","",IF(J91&gt;=20,"CRITICAL",IF(J91&gt;=12,"HIGH",IF(J91&gt;=6,"MEDIUM","LOW"))))</f>
        <v>LOW</v>
      </c>
      <c r="L91" s="23"/>
      <c r="M91" s="23"/>
      <c r="N91" s="23" t="n">
        <f aca="false">IF(J91="","",MAX(1,J91-IFERROR(M91*2,0)))</f>
        <v>1</v>
      </c>
      <c r="O91" s="23" t="str">
        <f aca="false">IF(N91="","",IF(N91&gt;=16,"CRITICAL",IF(N91&gt;=8,"HIGH",IF(N91&gt;=4,"MEDIUM","LOW"))))</f>
        <v>LOW</v>
      </c>
      <c r="P91" s="23"/>
      <c r="Q91" s="23"/>
      <c r="R91" s="23"/>
      <c r="S91" s="23"/>
      <c r="T91" s="128" t="s">
        <v>1706</v>
      </c>
      <c r="U91" s="23"/>
      <c r="V91" s="23"/>
    </row>
    <row r="92" customFormat="false" ht="45" hidden="false" customHeight="true" outlineLevel="0" collapsed="false">
      <c r="A92" s="47" t="s">
        <v>1865</v>
      </c>
      <c r="B92" s="114" t="s">
        <v>368</v>
      </c>
      <c r="C92" s="32" t="s">
        <v>348</v>
      </c>
      <c r="D92" s="32" t="s">
        <v>1866</v>
      </c>
      <c r="E92" s="32"/>
      <c r="F92" s="32"/>
      <c r="G92" s="32"/>
      <c r="H92" s="32"/>
      <c r="I92" s="32"/>
      <c r="J92" s="32" t="n">
        <f aca="false">H92*I92</f>
        <v>0</v>
      </c>
      <c r="K92" s="32" t="str">
        <f aca="false">IF(J92="","",IF(J92&gt;=20,"CRITICAL",IF(J92&gt;=12,"HIGH",IF(J92&gt;=6,"MEDIUM","LOW"))))</f>
        <v>LOW</v>
      </c>
      <c r="L92" s="32"/>
      <c r="M92" s="32"/>
      <c r="N92" s="32" t="n">
        <f aca="false">IF(J92="","",MAX(1,J92-IFERROR(M92*2,0)))</f>
        <v>1</v>
      </c>
      <c r="O92" s="32" t="str">
        <f aca="false">IF(N92="","",IF(N92&gt;=16,"CRITICAL",IF(N92&gt;=8,"HIGH",IF(N92&gt;=4,"MEDIUM","LOW"))))</f>
        <v>LOW</v>
      </c>
      <c r="P92" s="32"/>
      <c r="Q92" s="32"/>
      <c r="R92" s="32"/>
      <c r="S92" s="32"/>
      <c r="T92" s="128" t="s">
        <v>1706</v>
      </c>
      <c r="U92" s="32"/>
      <c r="V92" s="32"/>
    </row>
    <row r="93" customFormat="false" ht="45" hidden="false" customHeight="true" outlineLevel="0" collapsed="false">
      <c r="A93" s="45" t="s">
        <v>1867</v>
      </c>
      <c r="B93" s="115" t="s">
        <v>372</v>
      </c>
      <c r="C93" s="23" t="s">
        <v>348</v>
      </c>
      <c r="D93" s="23" t="s">
        <v>1868</v>
      </c>
      <c r="E93" s="23"/>
      <c r="F93" s="23"/>
      <c r="G93" s="23"/>
      <c r="H93" s="23"/>
      <c r="I93" s="23"/>
      <c r="J93" s="23" t="n">
        <f aca="false">H93*I93</f>
        <v>0</v>
      </c>
      <c r="K93" s="23" t="str">
        <f aca="false">IF(J93="","",IF(J93&gt;=20,"CRITICAL",IF(J93&gt;=12,"HIGH",IF(J93&gt;=6,"MEDIUM","LOW"))))</f>
        <v>LOW</v>
      </c>
      <c r="L93" s="23"/>
      <c r="M93" s="23"/>
      <c r="N93" s="23" t="n">
        <f aca="false">IF(J93="","",MAX(1,J93-IFERROR(M93*2,0)))</f>
        <v>1</v>
      </c>
      <c r="O93" s="23" t="str">
        <f aca="false">IF(N93="","",IF(N93&gt;=16,"CRITICAL",IF(N93&gt;=8,"HIGH",IF(N93&gt;=4,"MEDIUM","LOW"))))</f>
        <v>LOW</v>
      </c>
      <c r="P93" s="23"/>
      <c r="Q93" s="23"/>
      <c r="R93" s="23"/>
      <c r="S93" s="23"/>
      <c r="T93" s="128" t="s">
        <v>1706</v>
      </c>
      <c r="U93" s="23"/>
      <c r="V93" s="23"/>
    </row>
    <row r="94" customFormat="false" ht="45" hidden="false" customHeight="true" outlineLevel="0" collapsed="false">
      <c r="A94" s="47" t="s">
        <v>1869</v>
      </c>
      <c r="B94" s="114" t="s">
        <v>376</v>
      </c>
      <c r="C94" s="32" t="s">
        <v>348</v>
      </c>
      <c r="D94" s="32" t="s">
        <v>1870</v>
      </c>
      <c r="E94" s="32"/>
      <c r="F94" s="32"/>
      <c r="G94" s="32"/>
      <c r="H94" s="32"/>
      <c r="I94" s="32"/>
      <c r="J94" s="32" t="n">
        <f aca="false">H94*I94</f>
        <v>0</v>
      </c>
      <c r="K94" s="32" t="str">
        <f aca="false">IF(J94="","",IF(J94&gt;=20,"CRITICAL",IF(J94&gt;=12,"HIGH",IF(J94&gt;=6,"MEDIUM","LOW"))))</f>
        <v>LOW</v>
      </c>
      <c r="L94" s="32"/>
      <c r="M94" s="32"/>
      <c r="N94" s="32" t="n">
        <f aca="false">IF(J94="","",MAX(1,J94-IFERROR(M94*2,0)))</f>
        <v>1</v>
      </c>
      <c r="O94" s="32" t="str">
        <f aca="false">IF(N94="","",IF(N94&gt;=16,"CRITICAL",IF(N94&gt;=8,"HIGH",IF(N94&gt;=4,"MEDIUM","LOW"))))</f>
        <v>LOW</v>
      </c>
      <c r="P94" s="32"/>
      <c r="Q94" s="32"/>
      <c r="R94" s="32"/>
      <c r="S94" s="32"/>
      <c r="T94" s="128" t="s">
        <v>1706</v>
      </c>
      <c r="U94" s="32"/>
      <c r="V94" s="32"/>
    </row>
    <row r="95" customFormat="false" ht="45" hidden="false" customHeight="true" outlineLevel="0" collapsed="false">
      <c r="A95" s="45" t="s">
        <v>1871</v>
      </c>
      <c r="B95" s="115" t="s">
        <v>379</v>
      </c>
      <c r="C95" s="23" t="s">
        <v>348</v>
      </c>
      <c r="D95" s="23" t="s">
        <v>380</v>
      </c>
      <c r="E95" s="23"/>
      <c r="F95" s="23"/>
      <c r="G95" s="23"/>
      <c r="H95" s="23"/>
      <c r="I95" s="23"/>
      <c r="J95" s="23" t="n">
        <f aca="false">H95*I95</f>
        <v>0</v>
      </c>
      <c r="K95" s="23" t="str">
        <f aca="false">IF(J95="","",IF(J95&gt;=20,"CRITICAL",IF(J95&gt;=12,"HIGH",IF(J95&gt;=6,"MEDIUM","LOW"))))</f>
        <v>LOW</v>
      </c>
      <c r="L95" s="23"/>
      <c r="M95" s="23"/>
      <c r="N95" s="23" t="n">
        <f aca="false">IF(J95="","",MAX(1,J95-IFERROR(M95*2,0)))</f>
        <v>1</v>
      </c>
      <c r="O95" s="23" t="str">
        <f aca="false">IF(N95="","",IF(N95&gt;=16,"CRITICAL",IF(N95&gt;=8,"HIGH",IF(N95&gt;=4,"MEDIUM","LOW"))))</f>
        <v>LOW</v>
      </c>
      <c r="P95" s="23"/>
      <c r="Q95" s="23"/>
      <c r="R95" s="23"/>
      <c r="S95" s="23"/>
      <c r="T95" s="128" t="s">
        <v>1706</v>
      </c>
      <c r="U95" s="23"/>
      <c r="V95" s="23"/>
    </row>
    <row r="96" customFormat="false" ht="45" hidden="false" customHeight="true" outlineLevel="0" collapsed="false">
      <c r="A96" s="47" t="s">
        <v>1872</v>
      </c>
      <c r="B96" s="114" t="s">
        <v>382</v>
      </c>
      <c r="C96" s="32" t="s">
        <v>348</v>
      </c>
      <c r="D96" s="32" t="s">
        <v>1873</v>
      </c>
      <c r="E96" s="32"/>
      <c r="F96" s="32"/>
      <c r="G96" s="32"/>
      <c r="H96" s="32"/>
      <c r="I96" s="32"/>
      <c r="J96" s="32" t="n">
        <f aca="false">H96*I96</f>
        <v>0</v>
      </c>
      <c r="K96" s="32" t="str">
        <f aca="false">IF(J96="","",IF(J96&gt;=20,"CRITICAL",IF(J96&gt;=12,"HIGH",IF(J96&gt;=6,"MEDIUM","LOW"))))</f>
        <v>LOW</v>
      </c>
      <c r="L96" s="32"/>
      <c r="M96" s="32"/>
      <c r="N96" s="32" t="n">
        <f aca="false">IF(J96="","",MAX(1,J96-IFERROR(M96*2,0)))</f>
        <v>1</v>
      </c>
      <c r="O96" s="32" t="str">
        <f aca="false">IF(N96="","",IF(N96&gt;=16,"CRITICAL",IF(N96&gt;=8,"HIGH",IF(N96&gt;=4,"MEDIUM","LOW"))))</f>
        <v>LOW</v>
      </c>
      <c r="P96" s="32"/>
      <c r="Q96" s="32"/>
      <c r="R96" s="32"/>
      <c r="S96" s="32"/>
      <c r="T96" s="128" t="s">
        <v>1706</v>
      </c>
      <c r="U96" s="32"/>
      <c r="V96" s="32"/>
    </row>
    <row r="97" customFormat="false" ht="45" hidden="false" customHeight="true" outlineLevel="0" collapsed="false">
      <c r="A97" s="45" t="s">
        <v>1874</v>
      </c>
      <c r="B97" s="115" t="s">
        <v>385</v>
      </c>
      <c r="C97" s="23" t="s">
        <v>348</v>
      </c>
      <c r="D97" s="23" t="s">
        <v>1875</v>
      </c>
      <c r="E97" s="23"/>
      <c r="F97" s="23"/>
      <c r="G97" s="23"/>
      <c r="H97" s="23"/>
      <c r="I97" s="23"/>
      <c r="J97" s="23" t="n">
        <f aca="false">H97*I97</f>
        <v>0</v>
      </c>
      <c r="K97" s="23" t="str">
        <f aca="false">IF(J97="","",IF(J97&gt;=20,"CRITICAL",IF(J97&gt;=12,"HIGH",IF(J97&gt;=6,"MEDIUM","LOW"))))</f>
        <v>LOW</v>
      </c>
      <c r="L97" s="23"/>
      <c r="M97" s="23"/>
      <c r="N97" s="23" t="n">
        <f aca="false">IF(J97="","",MAX(1,J97-IFERROR(M97*2,0)))</f>
        <v>1</v>
      </c>
      <c r="O97" s="23" t="str">
        <f aca="false">IF(N97="","",IF(N97&gt;=16,"CRITICAL",IF(N97&gt;=8,"HIGH",IF(N97&gt;=4,"MEDIUM","LOW"))))</f>
        <v>LOW</v>
      </c>
      <c r="P97" s="23"/>
      <c r="Q97" s="23"/>
      <c r="R97" s="23"/>
      <c r="S97" s="23"/>
      <c r="T97" s="128" t="s">
        <v>1706</v>
      </c>
      <c r="U97" s="23"/>
      <c r="V97" s="23"/>
    </row>
    <row r="98" customFormat="false" ht="45" hidden="false" customHeight="true" outlineLevel="0" collapsed="false">
      <c r="A98" s="47" t="s">
        <v>1876</v>
      </c>
      <c r="B98" s="114" t="s">
        <v>388</v>
      </c>
      <c r="C98" s="32" t="s">
        <v>348</v>
      </c>
      <c r="D98" s="32" t="s">
        <v>1877</v>
      </c>
      <c r="E98" s="32"/>
      <c r="F98" s="32"/>
      <c r="G98" s="32"/>
      <c r="H98" s="32"/>
      <c r="I98" s="32"/>
      <c r="J98" s="32" t="n">
        <f aca="false">H98*I98</f>
        <v>0</v>
      </c>
      <c r="K98" s="32" t="str">
        <f aca="false">IF(J98="","",IF(J98&gt;=20,"CRITICAL",IF(J98&gt;=12,"HIGH",IF(J98&gt;=6,"MEDIUM","LOW"))))</f>
        <v>LOW</v>
      </c>
      <c r="L98" s="32"/>
      <c r="M98" s="32"/>
      <c r="N98" s="32" t="n">
        <f aca="false">IF(J98="","",MAX(1,J98-IFERROR(M98*2,0)))</f>
        <v>1</v>
      </c>
      <c r="O98" s="32" t="str">
        <f aca="false">IF(N98="","",IF(N98&gt;=16,"CRITICAL",IF(N98&gt;=8,"HIGH",IF(N98&gt;=4,"MEDIUM","LOW"))))</f>
        <v>LOW</v>
      </c>
      <c r="P98" s="32"/>
      <c r="Q98" s="32"/>
      <c r="R98" s="32"/>
      <c r="S98" s="32"/>
      <c r="T98" s="128" t="s">
        <v>1706</v>
      </c>
      <c r="U98" s="32"/>
      <c r="V98" s="32"/>
    </row>
    <row r="99" customFormat="false" ht="45" hidden="false" customHeight="true" outlineLevel="0" collapsed="false">
      <c r="A99" s="45" t="s">
        <v>1878</v>
      </c>
      <c r="B99" s="115" t="s">
        <v>392</v>
      </c>
      <c r="C99" s="23" t="s">
        <v>348</v>
      </c>
      <c r="D99" s="23" t="s">
        <v>1879</v>
      </c>
      <c r="E99" s="23"/>
      <c r="F99" s="23"/>
      <c r="G99" s="23"/>
      <c r="H99" s="23"/>
      <c r="I99" s="23"/>
      <c r="J99" s="23" t="n">
        <f aca="false">H99*I99</f>
        <v>0</v>
      </c>
      <c r="K99" s="23" t="str">
        <f aca="false">IF(J99="","",IF(J99&gt;=20,"CRITICAL",IF(J99&gt;=12,"HIGH",IF(J99&gt;=6,"MEDIUM","LOW"))))</f>
        <v>LOW</v>
      </c>
      <c r="L99" s="23"/>
      <c r="M99" s="23"/>
      <c r="N99" s="23" t="n">
        <f aca="false">IF(J99="","",MAX(1,J99-IFERROR(M99*2,0)))</f>
        <v>1</v>
      </c>
      <c r="O99" s="23" t="str">
        <f aca="false">IF(N99="","",IF(N99&gt;=16,"CRITICAL",IF(N99&gt;=8,"HIGH",IF(N99&gt;=4,"MEDIUM","LOW"))))</f>
        <v>LOW</v>
      </c>
      <c r="P99" s="23"/>
      <c r="Q99" s="23"/>
      <c r="R99" s="23"/>
      <c r="S99" s="23"/>
      <c r="T99" s="128" t="s">
        <v>1706</v>
      </c>
      <c r="U99" s="23"/>
      <c r="V99" s="23"/>
    </row>
    <row r="100" customFormat="false" ht="45" hidden="false" customHeight="true" outlineLevel="0" collapsed="false">
      <c r="A100" s="47" t="s">
        <v>1880</v>
      </c>
      <c r="B100" s="114" t="s">
        <v>395</v>
      </c>
      <c r="C100" s="32" t="s">
        <v>348</v>
      </c>
      <c r="D100" s="32" t="s">
        <v>1881</v>
      </c>
      <c r="E100" s="32"/>
      <c r="F100" s="32"/>
      <c r="G100" s="32"/>
      <c r="H100" s="32"/>
      <c r="I100" s="32"/>
      <c r="J100" s="32" t="n">
        <f aca="false">H100*I100</f>
        <v>0</v>
      </c>
      <c r="K100" s="32" t="str">
        <f aca="false">IF(J100="","",IF(J100&gt;=20,"CRITICAL",IF(J100&gt;=12,"HIGH",IF(J100&gt;=6,"MEDIUM","LOW"))))</f>
        <v>LOW</v>
      </c>
      <c r="L100" s="32"/>
      <c r="M100" s="32"/>
      <c r="N100" s="32" t="n">
        <f aca="false">IF(J100="","",MAX(1,J100-IFERROR(M100*2,0)))</f>
        <v>1</v>
      </c>
      <c r="O100" s="32" t="str">
        <f aca="false">IF(N100="","",IF(N100&gt;=16,"CRITICAL",IF(N100&gt;=8,"HIGH",IF(N100&gt;=4,"MEDIUM","LOW"))))</f>
        <v>LOW</v>
      </c>
      <c r="P100" s="32"/>
      <c r="Q100" s="32"/>
      <c r="R100" s="32"/>
      <c r="S100" s="32"/>
      <c r="T100" s="128" t="s">
        <v>1706</v>
      </c>
      <c r="U100" s="32"/>
      <c r="V100" s="32"/>
    </row>
    <row r="101" customFormat="false" ht="45" hidden="false" customHeight="true" outlineLevel="0" collapsed="false">
      <c r="A101" s="45" t="s">
        <v>1882</v>
      </c>
      <c r="B101" s="115" t="s">
        <v>398</v>
      </c>
      <c r="C101" s="23" t="s">
        <v>348</v>
      </c>
      <c r="D101" s="23" t="s">
        <v>399</v>
      </c>
      <c r="E101" s="23"/>
      <c r="F101" s="23"/>
      <c r="G101" s="23"/>
      <c r="H101" s="23"/>
      <c r="I101" s="23"/>
      <c r="J101" s="23" t="n">
        <f aca="false">H101*I101</f>
        <v>0</v>
      </c>
      <c r="K101" s="23" t="str">
        <f aca="false">IF(J101="","",IF(J101&gt;=20,"CRITICAL",IF(J101&gt;=12,"HIGH",IF(J101&gt;=6,"MEDIUM","LOW"))))</f>
        <v>LOW</v>
      </c>
      <c r="L101" s="23"/>
      <c r="M101" s="23"/>
      <c r="N101" s="23" t="n">
        <f aca="false">IF(J101="","",MAX(1,J101-IFERROR(M101*2,0)))</f>
        <v>1</v>
      </c>
      <c r="O101" s="23" t="str">
        <f aca="false">IF(N101="","",IF(N101&gt;=16,"CRITICAL",IF(N101&gt;=8,"HIGH",IF(N101&gt;=4,"MEDIUM","LOW"))))</f>
        <v>LOW</v>
      </c>
      <c r="P101" s="23"/>
      <c r="Q101" s="23"/>
      <c r="R101" s="23"/>
      <c r="S101" s="23"/>
      <c r="T101" s="128" t="s">
        <v>1706</v>
      </c>
      <c r="U101" s="23"/>
      <c r="V101" s="23"/>
    </row>
    <row r="102" customFormat="false" ht="45" hidden="false" customHeight="true" outlineLevel="0" collapsed="false">
      <c r="A102" s="47" t="s">
        <v>1883</v>
      </c>
      <c r="B102" s="114" t="s">
        <v>401</v>
      </c>
      <c r="C102" s="32" t="s">
        <v>348</v>
      </c>
      <c r="D102" s="32" t="s">
        <v>1884</v>
      </c>
      <c r="E102" s="32"/>
      <c r="F102" s="32"/>
      <c r="G102" s="32"/>
      <c r="H102" s="32"/>
      <c r="I102" s="32"/>
      <c r="J102" s="32" t="n">
        <f aca="false">H102*I102</f>
        <v>0</v>
      </c>
      <c r="K102" s="32" t="str">
        <f aca="false">IF(J102="","",IF(J102&gt;=20,"CRITICAL",IF(J102&gt;=12,"HIGH",IF(J102&gt;=6,"MEDIUM","LOW"))))</f>
        <v>LOW</v>
      </c>
      <c r="L102" s="32"/>
      <c r="M102" s="32"/>
      <c r="N102" s="32" t="n">
        <f aca="false">IF(J102="","",MAX(1,J102-IFERROR(M102*2,0)))</f>
        <v>1</v>
      </c>
      <c r="O102" s="32" t="str">
        <f aca="false">IF(N102="","",IF(N102&gt;=16,"CRITICAL",IF(N102&gt;=8,"HIGH",IF(N102&gt;=4,"MEDIUM","LOW"))))</f>
        <v>LOW</v>
      </c>
      <c r="P102" s="32"/>
      <c r="Q102" s="32"/>
      <c r="R102" s="32"/>
      <c r="S102" s="32"/>
      <c r="T102" s="128" t="s">
        <v>1706</v>
      </c>
      <c r="U102" s="32"/>
      <c r="V102" s="32"/>
    </row>
    <row r="103" customFormat="false" ht="45" hidden="false" customHeight="true" outlineLevel="0" collapsed="false">
      <c r="A103" s="45" t="s">
        <v>1885</v>
      </c>
      <c r="B103" s="24" t="s">
        <v>405</v>
      </c>
      <c r="C103" s="23" t="s">
        <v>404</v>
      </c>
      <c r="D103" s="23" t="s">
        <v>1886</v>
      </c>
      <c r="E103" s="23"/>
      <c r="F103" s="23"/>
      <c r="G103" s="23"/>
      <c r="H103" s="23"/>
      <c r="I103" s="23"/>
      <c r="J103" s="23" t="n">
        <f aca="false">H103*I103</f>
        <v>0</v>
      </c>
      <c r="K103" s="23" t="str">
        <f aca="false">IF(J103="","",IF(J103&gt;=20,"CRITICAL",IF(J103&gt;=12,"HIGH",IF(J103&gt;=6,"MEDIUM","LOW"))))</f>
        <v>LOW</v>
      </c>
      <c r="L103" s="23"/>
      <c r="M103" s="23"/>
      <c r="N103" s="23" t="n">
        <f aca="false">IF(J103="","",MAX(1,J103-IFERROR(M103*2,0)))</f>
        <v>1</v>
      </c>
      <c r="O103" s="23" t="str">
        <f aca="false">IF(N103="","",IF(N103&gt;=16,"CRITICAL",IF(N103&gt;=8,"HIGH",IF(N103&gt;=4,"MEDIUM","LOW"))))</f>
        <v>LOW</v>
      </c>
      <c r="P103" s="23"/>
      <c r="Q103" s="23"/>
      <c r="R103" s="23"/>
      <c r="S103" s="23"/>
      <c r="T103" s="128" t="s">
        <v>1706</v>
      </c>
      <c r="U103" s="23"/>
      <c r="V103" s="23"/>
    </row>
    <row r="104" customFormat="false" ht="45" hidden="false" customHeight="true" outlineLevel="0" collapsed="false">
      <c r="A104" s="47" t="s">
        <v>1887</v>
      </c>
      <c r="B104" s="39" t="s">
        <v>409</v>
      </c>
      <c r="C104" s="32" t="s">
        <v>404</v>
      </c>
      <c r="D104" s="32" t="s">
        <v>1843</v>
      </c>
      <c r="E104" s="32"/>
      <c r="F104" s="32"/>
      <c r="G104" s="32"/>
      <c r="H104" s="32"/>
      <c r="I104" s="32"/>
      <c r="J104" s="32" t="n">
        <f aca="false">H104*I104</f>
        <v>0</v>
      </c>
      <c r="K104" s="32" t="str">
        <f aca="false">IF(J104="","",IF(J104&gt;=20,"CRITICAL",IF(J104&gt;=12,"HIGH",IF(J104&gt;=6,"MEDIUM","LOW"))))</f>
        <v>LOW</v>
      </c>
      <c r="L104" s="32"/>
      <c r="M104" s="32"/>
      <c r="N104" s="32" t="n">
        <f aca="false">IF(J104="","",MAX(1,J104-IFERROR(M104*2,0)))</f>
        <v>1</v>
      </c>
      <c r="O104" s="32" t="str">
        <f aca="false">IF(N104="","",IF(N104&gt;=16,"CRITICAL",IF(N104&gt;=8,"HIGH",IF(N104&gt;=4,"MEDIUM","LOW"))))</f>
        <v>LOW</v>
      </c>
      <c r="P104" s="32"/>
      <c r="Q104" s="32"/>
      <c r="R104" s="32"/>
      <c r="S104" s="32"/>
      <c r="T104" s="128" t="s">
        <v>1706</v>
      </c>
      <c r="U104" s="32"/>
      <c r="V104" s="32"/>
    </row>
    <row r="105" customFormat="false" ht="45" hidden="false" customHeight="true" outlineLevel="0" collapsed="false">
      <c r="A105" s="45" t="s">
        <v>1888</v>
      </c>
      <c r="B105" s="24" t="s">
        <v>412</v>
      </c>
      <c r="C105" s="23" t="s">
        <v>404</v>
      </c>
      <c r="D105" s="23" t="s">
        <v>1889</v>
      </c>
      <c r="E105" s="23"/>
      <c r="F105" s="23"/>
      <c r="G105" s="23"/>
      <c r="H105" s="23"/>
      <c r="I105" s="23"/>
      <c r="J105" s="23" t="n">
        <f aca="false">H105*I105</f>
        <v>0</v>
      </c>
      <c r="K105" s="23" t="str">
        <f aca="false">IF(J105="","",IF(J105&gt;=20,"CRITICAL",IF(J105&gt;=12,"HIGH",IF(J105&gt;=6,"MEDIUM","LOW"))))</f>
        <v>LOW</v>
      </c>
      <c r="L105" s="23"/>
      <c r="M105" s="23"/>
      <c r="N105" s="23" t="n">
        <f aca="false">IF(J105="","",MAX(1,J105-IFERROR(M105*2,0)))</f>
        <v>1</v>
      </c>
      <c r="O105" s="23" t="str">
        <f aca="false">IF(N105="","",IF(N105&gt;=16,"CRITICAL",IF(N105&gt;=8,"HIGH",IF(N105&gt;=4,"MEDIUM","LOW"))))</f>
        <v>LOW</v>
      </c>
      <c r="P105" s="23"/>
      <c r="Q105" s="23"/>
      <c r="R105" s="23"/>
      <c r="S105" s="23"/>
      <c r="T105" s="128" t="s">
        <v>1706</v>
      </c>
      <c r="U105" s="23"/>
      <c r="V105" s="23"/>
    </row>
    <row r="106" customFormat="false" ht="45" hidden="false" customHeight="true" outlineLevel="0" collapsed="false">
      <c r="A106" s="47" t="s">
        <v>1890</v>
      </c>
      <c r="B106" s="39" t="s">
        <v>415</v>
      </c>
      <c r="C106" s="32" t="s">
        <v>404</v>
      </c>
      <c r="D106" s="32" t="s">
        <v>416</v>
      </c>
      <c r="E106" s="32"/>
      <c r="F106" s="32"/>
      <c r="G106" s="32"/>
      <c r="H106" s="32"/>
      <c r="I106" s="32"/>
      <c r="J106" s="32" t="n">
        <f aca="false">H106*I106</f>
        <v>0</v>
      </c>
      <c r="K106" s="32" t="str">
        <f aca="false">IF(J106="","",IF(J106&gt;=20,"CRITICAL",IF(J106&gt;=12,"HIGH",IF(J106&gt;=6,"MEDIUM","LOW"))))</f>
        <v>LOW</v>
      </c>
      <c r="L106" s="32"/>
      <c r="M106" s="32"/>
      <c r="N106" s="32" t="n">
        <f aca="false">IF(J106="","",MAX(1,J106-IFERROR(M106*2,0)))</f>
        <v>1</v>
      </c>
      <c r="O106" s="32" t="str">
        <f aca="false">IF(N106="","",IF(N106&gt;=16,"CRITICAL",IF(N106&gt;=8,"HIGH",IF(N106&gt;=4,"MEDIUM","LOW"))))</f>
        <v>LOW</v>
      </c>
      <c r="P106" s="32"/>
      <c r="Q106" s="32"/>
      <c r="R106" s="32"/>
      <c r="S106" s="32"/>
      <c r="T106" s="128" t="s">
        <v>1706</v>
      </c>
      <c r="U106" s="32"/>
      <c r="V106" s="32"/>
    </row>
    <row r="107" customFormat="false" ht="45" hidden="false" customHeight="true" outlineLevel="0" collapsed="false">
      <c r="A107" s="45" t="s">
        <v>1891</v>
      </c>
      <c r="B107" s="24" t="s">
        <v>419</v>
      </c>
      <c r="C107" s="23" t="s">
        <v>404</v>
      </c>
      <c r="D107" s="23" t="s">
        <v>1892</v>
      </c>
      <c r="E107" s="23"/>
      <c r="F107" s="23"/>
      <c r="G107" s="23"/>
      <c r="H107" s="23"/>
      <c r="I107" s="23"/>
      <c r="J107" s="23" t="n">
        <f aca="false">H107*I107</f>
        <v>0</v>
      </c>
      <c r="K107" s="23" t="str">
        <f aca="false">IF(J107="","",IF(J107&gt;=20,"CRITICAL",IF(J107&gt;=12,"HIGH",IF(J107&gt;=6,"MEDIUM","LOW"))))</f>
        <v>LOW</v>
      </c>
      <c r="L107" s="23"/>
      <c r="M107" s="23"/>
      <c r="N107" s="23" t="n">
        <f aca="false">IF(J107="","",MAX(1,J107-IFERROR(M107*2,0)))</f>
        <v>1</v>
      </c>
      <c r="O107" s="23" t="str">
        <f aca="false">IF(N107="","",IF(N107&gt;=16,"CRITICAL",IF(N107&gt;=8,"HIGH",IF(N107&gt;=4,"MEDIUM","LOW"))))</f>
        <v>LOW</v>
      </c>
      <c r="P107" s="23"/>
      <c r="Q107" s="23"/>
      <c r="R107" s="23"/>
      <c r="S107" s="23"/>
      <c r="T107" s="128" t="s">
        <v>1706</v>
      </c>
      <c r="U107" s="23"/>
      <c r="V107" s="23"/>
    </row>
    <row r="108" customFormat="false" ht="45" hidden="false" customHeight="true" outlineLevel="0" collapsed="false">
      <c r="A108" s="47" t="s">
        <v>1893</v>
      </c>
      <c r="B108" s="39" t="s">
        <v>422</v>
      </c>
      <c r="C108" s="32" t="s">
        <v>404</v>
      </c>
      <c r="D108" s="32" t="s">
        <v>1894</v>
      </c>
      <c r="E108" s="32"/>
      <c r="F108" s="32"/>
      <c r="G108" s="32"/>
      <c r="H108" s="32"/>
      <c r="I108" s="32"/>
      <c r="J108" s="32" t="n">
        <f aca="false">H108*I108</f>
        <v>0</v>
      </c>
      <c r="K108" s="32" t="str">
        <f aca="false">IF(J108="","",IF(J108&gt;=20,"CRITICAL",IF(J108&gt;=12,"HIGH",IF(J108&gt;=6,"MEDIUM","LOW"))))</f>
        <v>LOW</v>
      </c>
      <c r="L108" s="32"/>
      <c r="M108" s="32"/>
      <c r="N108" s="32" t="n">
        <f aca="false">IF(J108="","",MAX(1,J108-IFERROR(M108*2,0)))</f>
        <v>1</v>
      </c>
      <c r="O108" s="32" t="str">
        <f aca="false">IF(N108="","",IF(N108&gt;=16,"CRITICAL",IF(N108&gt;=8,"HIGH",IF(N108&gt;=4,"MEDIUM","LOW"))))</f>
        <v>LOW</v>
      </c>
      <c r="P108" s="32"/>
      <c r="Q108" s="32"/>
      <c r="R108" s="32"/>
      <c r="S108" s="32"/>
      <c r="T108" s="128" t="s">
        <v>1706</v>
      </c>
      <c r="U108" s="32"/>
      <c r="V108" s="32"/>
    </row>
    <row r="109" customFormat="false" ht="45" hidden="false" customHeight="true" outlineLevel="0" collapsed="false">
      <c r="A109" s="45" t="s">
        <v>1895</v>
      </c>
      <c r="B109" s="24" t="s">
        <v>426</v>
      </c>
      <c r="C109" s="23" t="s">
        <v>404</v>
      </c>
      <c r="D109" s="23" t="s">
        <v>1896</v>
      </c>
      <c r="E109" s="23"/>
      <c r="F109" s="23"/>
      <c r="G109" s="23"/>
      <c r="H109" s="23"/>
      <c r="I109" s="23"/>
      <c r="J109" s="23" t="n">
        <f aca="false">H109*I109</f>
        <v>0</v>
      </c>
      <c r="K109" s="23" t="str">
        <f aca="false">IF(J109="","",IF(J109&gt;=20,"CRITICAL",IF(J109&gt;=12,"HIGH",IF(J109&gt;=6,"MEDIUM","LOW"))))</f>
        <v>LOW</v>
      </c>
      <c r="L109" s="23"/>
      <c r="M109" s="23"/>
      <c r="N109" s="23" t="n">
        <f aca="false">IF(J109="","",MAX(1,J109-IFERROR(M109*2,0)))</f>
        <v>1</v>
      </c>
      <c r="O109" s="23" t="str">
        <f aca="false">IF(N109="","",IF(N109&gt;=16,"CRITICAL",IF(N109&gt;=8,"HIGH",IF(N109&gt;=4,"MEDIUM","LOW"))))</f>
        <v>LOW</v>
      </c>
      <c r="P109" s="23"/>
      <c r="Q109" s="23"/>
      <c r="R109" s="23"/>
      <c r="S109" s="23"/>
      <c r="T109" s="128" t="s">
        <v>1706</v>
      </c>
      <c r="U109" s="23"/>
      <c r="V109" s="23"/>
    </row>
    <row r="110" customFormat="false" ht="45" hidden="false" customHeight="true" outlineLevel="0" collapsed="false">
      <c r="A110" s="47" t="s">
        <v>1897</v>
      </c>
      <c r="B110" s="39" t="s">
        <v>430</v>
      </c>
      <c r="C110" s="32" t="s">
        <v>404</v>
      </c>
      <c r="D110" s="32" t="s">
        <v>1898</v>
      </c>
      <c r="E110" s="32"/>
      <c r="F110" s="32"/>
      <c r="G110" s="32"/>
      <c r="H110" s="32"/>
      <c r="I110" s="32"/>
      <c r="J110" s="32" t="n">
        <f aca="false">H110*I110</f>
        <v>0</v>
      </c>
      <c r="K110" s="32" t="str">
        <f aca="false">IF(J110="","",IF(J110&gt;=20,"CRITICAL",IF(J110&gt;=12,"HIGH",IF(J110&gt;=6,"MEDIUM","LOW"))))</f>
        <v>LOW</v>
      </c>
      <c r="L110" s="32"/>
      <c r="M110" s="32"/>
      <c r="N110" s="32" t="n">
        <f aca="false">IF(J110="","",MAX(1,J110-IFERROR(M110*2,0)))</f>
        <v>1</v>
      </c>
      <c r="O110" s="32" t="str">
        <f aca="false">IF(N110="","",IF(N110&gt;=16,"CRITICAL",IF(N110&gt;=8,"HIGH",IF(N110&gt;=4,"MEDIUM","LOW"))))</f>
        <v>LOW</v>
      </c>
      <c r="P110" s="32"/>
      <c r="Q110" s="32"/>
      <c r="R110" s="32"/>
      <c r="S110" s="32"/>
      <c r="T110" s="128" t="s">
        <v>1706</v>
      </c>
      <c r="U110" s="32"/>
      <c r="V110" s="32"/>
    </row>
    <row r="111" customFormat="false" ht="45" hidden="false" customHeight="true" outlineLevel="0" collapsed="false">
      <c r="A111" s="45" t="s">
        <v>1899</v>
      </c>
      <c r="B111" s="24" t="s">
        <v>433</v>
      </c>
      <c r="C111" s="23" t="s">
        <v>404</v>
      </c>
      <c r="D111" s="23" t="s">
        <v>1900</v>
      </c>
      <c r="E111" s="23"/>
      <c r="F111" s="23"/>
      <c r="G111" s="23"/>
      <c r="H111" s="23"/>
      <c r="I111" s="23"/>
      <c r="J111" s="23" t="n">
        <f aca="false">H111*I111</f>
        <v>0</v>
      </c>
      <c r="K111" s="23" t="str">
        <f aca="false">IF(J111="","",IF(J111&gt;=20,"CRITICAL",IF(J111&gt;=12,"HIGH",IF(J111&gt;=6,"MEDIUM","LOW"))))</f>
        <v>LOW</v>
      </c>
      <c r="L111" s="23"/>
      <c r="M111" s="23"/>
      <c r="N111" s="23" t="n">
        <f aca="false">IF(J111="","",MAX(1,J111-IFERROR(M111*2,0)))</f>
        <v>1</v>
      </c>
      <c r="O111" s="23" t="str">
        <f aca="false">IF(N111="","",IF(N111&gt;=16,"CRITICAL",IF(N111&gt;=8,"HIGH",IF(N111&gt;=4,"MEDIUM","LOW"))))</f>
        <v>LOW</v>
      </c>
      <c r="P111" s="23"/>
      <c r="Q111" s="23"/>
      <c r="R111" s="23"/>
      <c r="S111" s="23"/>
      <c r="T111" s="128" t="s">
        <v>1706</v>
      </c>
      <c r="U111" s="23"/>
      <c r="V111" s="23"/>
    </row>
    <row r="112" customFormat="false" ht="45" hidden="false" customHeight="true" outlineLevel="0" collapsed="false">
      <c r="A112" s="47" t="s">
        <v>1901</v>
      </c>
      <c r="B112" s="39" t="s">
        <v>436</v>
      </c>
      <c r="C112" s="32" t="s">
        <v>404</v>
      </c>
      <c r="D112" s="32" t="s">
        <v>437</v>
      </c>
      <c r="E112" s="32"/>
      <c r="F112" s="32"/>
      <c r="G112" s="32"/>
      <c r="H112" s="32"/>
      <c r="I112" s="32"/>
      <c r="J112" s="32" t="n">
        <f aca="false">H112*I112</f>
        <v>0</v>
      </c>
      <c r="K112" s="32" t="str">
        <f aca="false">IF(J112="","",IF(J112&gt;=20,"CRITICAL",IF(J112&gt;=12,"HIGH",IF(J112&gt;=6,"MEDIUM","LOW"))))</f>
        <v>LOW</v>
      </c>
      <c r="L112" s="32"/>
      <c r="M112" s="32"/>
      <c r="N112" s="32" t="n">
        <f aca="false">IF(J112="","",MAX(1,J112-IFERROR(M112*2,0)))</f>
        <v>1</v>
      </c>
      <c r="O112" s="32" t="str">
        <f aca="false">IF(N112="","",IF(N112&gt;=16,"CRITICAL",IF(N112&gt;=8,"HIGH",IF(N112&gt;=4,"MEDIUM","LOW"))))</f>
        <v>LOW</v>
      </c>
      <c r="P112" s="32"/>
      <c r="Q112" s="32"/>
      <c r="R112" s="32"/>
      <c r="S112" s="32"/>
      <c r="T112" s="128" t="s">
        <v>1706</v>
      </c>
      <c r="U112" s="32"/>
      <c r="V112" s="32"/>
    </row>
    <row r="113" customFormat="false" ht="45" hidden="false" customHeight="true" outlineLevel="0" collapsed="false">
      <c r="A113" s="45" t="s">
        <v>1902</v>
      </c>
      <c r="B113" s="24" t="s">
        <v>439</v>
      </c>
      <c r="C113" s="23" t="s">
        <v>404</v>
      </c>
      <c r="D113" s="23" t="s">
        <v>1903</v>
      </c>
      <c r="E113" s="23"/>
      <c r="F113" s="23"/>
      <c r="G113" s="23"/>
      <c r="H113" s="23"/>
      <c r="I113" s="23"/>
      <c r="J113" s="23" t="n">
        <f aca="false">H113*I113</f>
        <v>0</v>
      </c>
      <c r="K113" s="23" t="str">
        <f aca="false">IF(J113="","",IF(J113&gt;=20,"CRITICAL",IF(J113&gt;=12,"HIGH",IF(J113&gt;=6,"MEDIUM","LOW"))))</f>
        <v>LOW</v>
      </c>
      <c r="L113" s="23"/>
      <c r="M113" s="23"/>
      <c r="N113" s="23" t="n">
        <f aca="false">IF(J113="","",MAX(1,J113-IFERROR(M113*2,0)))</f>
        <v>1</v>
      </c>
      <c r="O113" s="23" t="str">
        <f aca="false">IF(N113="","",IF(N113&gt;=16,"CRITICAL",IF(N113&gt;=8,"HIGH",IF(N113&gt;=4,"MEDIUM","LOW"))))</f>
        <v>LOW</v>
      </c>
      <c r="P113" s="23"/>
      <c r="Q113" s="23"/>
      <c r="R113" s="23"/>
      <c r="S113" s="23"/>
      <c r="T113" s="128" t="s">
        <v>1706</v>
      </c>
      <c r="U113" s="23"/>
      <c r="V113" s="23"/>
    </row>
    <row r="114" customFormat="false" ht="45" hidden="false" customHeight="true" outlineLevel="0" collapsed="false">
      <c r="A114" s="47" t="s">
        <v>1904</v>
      </c>
      <c r="B114" s="39" t="s">
        <v>442</v>
      </c>
      <c r="C114" s="32" t="s">
        <v>404</v>
      </c>
      <c r="D114" s="32" t="s">
        <v>1905</v>
      </c>
      <c r="E114" s="32"/>
      <c r="F114" s="32"/>
      <c r="G114" s="32"/>
      <c r="H114" s="32"/>
      <c r="I114" s="32"/>
      <c r="J114" s="32" t="n">
        <f aca="false">H114*I114</f>
        <v>0</v>
      </c>
      <c r="K114" s="32" t="str">
        <f aca="false">IF(J114="","",IF(J114&gt;=20,"CRITICAL",IF(J114&gt;=12,"HIGH",IF(J114&gt;=6,"MEDIUM","LOW"))))</f>
        <v>LOW</v>
      </c>
      <c r="L114" s="32"/>
      <c r="M114" s="32"/>
      <c r="N114" s="32" t="n">
        <f aca="false">IF(J114="","",MAX(1,J114-IFERROR(M114*2,0)))</f>
        <v>1</v>
      </c>
      <c r="O114" s="32" t="str">
        <f aca="false">IF(N114="","",IF(N114&gt;=16,"CRITICAL",IF(N114&gt;=8,"HIGH",IF(N114&gt;=4,"MEDIUM","LOW"))))</f>
        <v>LOW</v>
      </c>
      <c r="P114" s="32"/>
      <c r="Q114" s="32"/>
      <c r="R114" s="32"/>
      <c r="S114" s="32"/>
      <c r="T114" s="128" t="s">
        <v>1706</v>
      </c>
      <c r="U114" s="32"/>
      <c r="V114" s="32"/>
    </row>
    <row r="115" customFormat="false" ht="45" hidden="false" customHeight="true" outlineLevel="0" collapsed="false">
      <c r="A115" s="45" t="s">
        <v>1906</v>
      </c>
      <c r="B115" s="24" t="s">
        <v>445</v>
      </c>
      <c r="C115" s="23" t="s">
        <v>404</v>
      </c>
      <c r="D115" s="23" t="s">
        <v>1907</v>
      </c>
      <c r="E115" s="23"/>
      <c r="F115" s="23"/>
      <c r="G115" s="23"/>
      <c r="H115" s="23"/>
      <c r="I115" s="23"/>
      <c r="J115" s="23" t="n">
        <f aca="false">H115*I115</f>
        <v>0</v>
      </c>
      <c r="K115" s="23" t="str">
        <f aca="false">IF(J115="","",IF(J115&gt;=20,"CRITICAL",IF(J115&gt;=12,"HIGH",IF(J115&gt;=6,"MEDIUM","LOW"))))</f>
        <v>LOW</v>
      </c>
      <c r="L115" s="23"/>
      <c r="M115" s="23"/>
      <c r="N115" s="23" t="n">
        <f aca="false">IF(J115="","",MAX(1,J115-IFERROR(M115*2,0)))</f>
        <v>1</v>
      </c>
      <c r="O115" s="23" t="str">
        <f aca="false">IF(N115="","",IF(N115&gt;=16,"CRITICAL",IF(N115&gt;=8,"HIGH",IF(N115&gt;=4,"MEDIUM","LOW"))))</f>
        <v>LOW</v>
      </c>
      <c r="P115" s="23"/>
      <c r="Q115" s="23"/>
      <c r="R115" s="23"/>
      <c r="S115" s="23"/>
      <c r="T115" s="128" t="s">
        <v>1706</v>
      </c>
      <c r="U115" s="23"/>
      <c r="V115" s="23"/>
    </row>
    <row r="116" customFormat="false" ht="45" hidden="false" customHeight="true" outlineLevel="0" collapsed="false">
      <c r="A116" s="47" t="s">
        <v>1908</v>
      </c>
      <c r="B116" s="39" t="s">
        <v>449</v>
      </c>
      <c r="C116" s="32" t="s">
        <v>404</v>
      </c>
      <c r="D116" s="32" t="s">
        <v>450</v>
      </c>
      <c r="E116" s="32"/>
      <c r="F116" s="32"/>
      <c r="G116" s="32"/>
      <c r="H116" s="32"/>
      <c r="I116" s="32"/>
      <c r="J116" s="32" t="n">
        <f aca="false">H116*I116</f>
        <v>0</v>
      </c>
      <c r="K116" s="32" t="str">
        <f aca="false">IF(J116="","",IF(J116&gt;=20,"CRITICAL",IF(J116&gt;=12,"HIGH",IF(J116&gt;=6,"MEDIUM","LOW"))))</f>
        <v>LOW</v>
      </c>
      <c r="L116" s="32"/>
      <c r="M116" s="32"/>
      <c r="N116" s="32" t="n">
        <f aca="false">IF(J116="","",MAX(1,J116-IFERROR(M116*2,0)))</f>
        <v>1</v>
      </c>
      <c r="O116" s="32" t="str">
        <f aca="false">IF(N116="","",IF(N116&gt;=16,"CRITICAL",IF(N116&gt;=8,"HIGH",IF(N116&gt;=4,"MEDIUM","LOW"))))</f>
        <v>LOW</v>
      </c>
      <c r="P116" s="32"/>
      <c r="Q116" s="32"/>
      <c r="R116" s="32"/>
      <c r="S116" s="32"/>
      <c r="T116" s="128" t="s">
        <v>1706</v>
      </c>
      <c r="U116" s="32"/>
      <c r="V116" s="32"/>
    </row>
    <row r="117" customFormat="false" ht="45" hidden="false" customHeight="true" outlineLevel="0" collapsed="false">
      <c r="A117" s="45" t="s">
        <v>1909</v>
      </c>
      <c r="B117" s="24" t="s">
        <v>452</v>
      </c>
      <c r="C117" s="23" t="s">
        <v>404</v>
      </c>
      <c r="D117" s="23" t="s">
        <v>1910</v>
      </c>
      <c r="E117" s="23"/>
      <c r="F117" s="23"/>
      <c r="G117" s="23"/>
      <c r="H117" s="23"/>
      <c r="I117" s="23"/>
      <c r="J117" s="23" t="n">
        <f aca="false">H117*I117</f>
        <v>0</v>
      </c>
      <c r="K117" s="23" t="str">
        <f aca="false">IF(J117="","",IF(J117&gt;=20,"CRITICAL",IF(J117&gt;=12,"HIGH",IF(J117&gt;=6,"MEDIUM","LOW"))))</f>
        <v>LOW</v>
      </c>
      <c r="L117" s="23"/>
      <c r="M117" s="23"/>
      <c r="N117" s="23" t="n">
        <f aca="false">IF(J117="","",MAX(1,J117-IFERROR(M117*2,0)))</f>
        <v>1</v>
      </c>
      <c r="O117" s="23" t="str">
        <f aca="false">IF(N117="","",IF(N117&gt;=16,"CRITICAL",IF(N117&gt;=8,"HIGH",IF(N117&gt;=4,"MEDIUM","LOW"))))</f>
        <v>LOW</v>
      </c>
      <c r="P117" s="23"/>
      <c r="Q117" s="23"/>
      <c r="R117" s="23"/>
      <c r="S117" s="23"/>
      <c r="T117" s="128" t="s">
        <v>1706</v>
      </c>
      <c r="U117" s="23"/>
      <c r="V117" s="23"/>
    </row>
    <row r="118" customFormat="false" ht="45" hidden="false" customHeight="true" outlineLevel="0" collapsed="false">
      <c r="A118" s="47" t="s">
        <v>1911</v>
      </c>
      <c r="B118" s="39" t="s">
        <v>456</v>
      </c>
      <c r="C118" s="32" t="s">
        <v>404</v>
      </c>
      <c r="D118" s="32" t="s">
        <v>1912</v>
      </c>
      <c r="E118" s="32"/>
      <c r="F118" s="32"/>
      <c r="G118" s="32"/>
      <c r="H118" s="32"/>
      <c r="I118" s="32"/>
      <c r="J118" s="32" t="n">
        <f aca="false">H118*I118</f>
        <v>0</v>
      </c>
      <c r="K118" s="32" t="str">
        <f aca="false">IF(J118="","",IF(J118&gt;=20,"CRITICAL",IF(J118&gt;=12,"HIGH",IF(J118&gt;=6,"MEDIUM","LOW"))))</f>
        <v>LOW</v>
      </c>
      <c r="L118" s="32"/>
      <c r="M118" s="32"/>
      <c r="N118" s="32" t="n">
        <f aca="false">IF(J118="","",MAX(1,J118-IFERROR(M118*2,0)))</f>
        <v>1</v>
      </c>
      <c r="O118" s="32" t="str">
        <f aca="false">IF(N118="","",IF(N118&gt;=16,"CRITICAL",IF(N118&gt;=8,"HIGH",IF(N118&gt;=4,"MEDIUM","LOW"))))</f>
        <v>LOW</v>
      </c>
      <c r="P118" s="32"/>
      <c r="Q118" s="32"/>
      <c r="R118" s="32"/>
      <c r="S118" s="32"/>
      <c r="T118" s="128" t="s">
        <v>1706</v>
      </c>
      <c r="U118" s="32"/>
      <c r="V118" s="32"/>
    </row>
    <row r="119" customFormat="false" ht="45" hidden="false" customHeight="true" outlineLevel="0" collapsed="false">
      <c r="A119" s="45" t="s">
        <v>1913</v>
      </c>
      <c r="B119" s="24" t="s">
        <v>459</v>
      </c>
      <c r="C119" s="23" t="s">
        <v>404</v>
      </c>
      <c r="D119" s="23" t="s">
        <v>1914</v>
      </c>
      <c r="E119" s="23"/>
      <c r="F119" s="23"/>
      <c r="G119" s="23"/>
      <c r="H119" s="23"/>
      <c r="I119" s="23"/>
      <c r="J119" s="23" t="n">
        <f aca="false">H119*I119</f>
        <v>0</v>
      </c>
      <c r="K119" s="23" t="str">
        <f aca="false">IF(J119="","",IF(J119&gt;=20,"CRITICAL",IF(J119&gt;=12,"HIGH",IF(J119&gt;=6,"MEDIUM","LOW"))))</f>
        <v>LOW</v>
      </c>
      <c r="L119" s="23"/>
      <c r="M119" s="23"/>
      <c r="N119" s="23" t="n">
        <f aca="false">IF(J119="","",MAX(1,J119-IFERROR(M119*2,0)))</f>
        <v>1</v>
      </c>
      <c r="O119" s="23" t="str">
        <f aca="false">IF(N119="","",IF(N119&gt;=16,"CRITICAL",IF(N119&gt;=8,"HIGH",IF(N119&gt;=4,"MEDIUM","LOW"))))</f>
        <v>LOW</v>
      </c>
      <c r="P119" s="23"/>
      <c r="Q119" s="23"/>
      <c r="R119" s="23"/>
      <c r="S119" s="23"/>
      <c r="T119" s="128" t="s">
        <v>1706</v>
      </c>
      <c r="U119" s="23"/>
      <c r="V119" s="23"/>
    </row>
    <row r="120" customFormat="false" ht="45" hidden="false" customHeight="true" outlineLevel="0" collapsed="false">
      <c r="A120" s="47" t="s">
        <v>1915</v>
      </c>
      <c r="B120" s="39" t="s">
        <v>462</v>
      </c>
      <c r="C120" s="32" t="s">
        <v>404</v>
      </c>
      <c r="D120" s="32" t="s">
        <v>463</v>
      </c>
      <c r="E120" s="32"/>
      <c r="F120" s="32"/>
      <c r="G120" s="32"/>
      <c r="H120" s="32"/>
      <c r="I120" s="32"/>
      <c r="J120" s="32" t="n">
        <f aca="false">H120*I120</f>
        <v>0</v>
      </c>
      <c r="K120" s="32" t="str">
        <f aca="false">IF(J120="","",IF(J120&gt;=20,"CRITICAL",IF(J120&gt;=12,"HIGH",IF(J120&gt;=6,"MEDIUM","LOW"))))</f>
        <v>LOW</v>
      </c>
      <c r="L120" s="32"/>
      <c r="M120" s="32"/>
      <c r="N120" s="32" t="n">
        <f aca="false">IF(J120="","",MAX(1,J120-IFERROR(M120*2,0)))</f>
        <v>1</v>
      </c>
      <c r="O120" s="32" t="str">
        <f aca="false">IF(N120="","",IF(N120&gt;=16,"CRITICAL",IF(N120&gt;=8,"HIGH",IF(N120&gt;=4,"MEDIUM","LOW"))))</f>
        <v>LOW</v>
      </c>
      <c r="P120" s="32"/>
      <c r="Q120" s="32"/>
      <c r="R120" s="32"/>
      <c r="S120" s="32"/>
      <c r="T120" s="128" t="s">
        <v>1706</v>
      </c>
      <c r="U120" s="32"/>
      <c r="V120" s="32"/>
    </row>
    <row r="121" customFormat="false" ht="45" hidden="false" customHeight="true" outlineLevel="0" collapsed="false">
      <c r="A121" s="45" t="s">
        <v>1916</v>
      </c>
      <c r="B121" s="24" t="s">
        <v>465</v>
      </c>
      <c r="C121" s="23" t="s">
        <v>404</v>
      </c>
      <c r="D121" s="23" t="s">
        <v>1917</v>
      </c>
      <c r="E121" s="23"/>
      <c r="F121" s="23"/>
      <c r="G121" s="23"/>
      <c r="H121" s="23"/>
      <c r="I121" s="23"/>
      <c r="J121" s="23" t="n">
        <f aca="false">H121*I121</f>
        <v>0</v>
      </c>
      <c r="K121" s="23" t="str">
        <f aca="false">IF(J121="","",IF(J121&gt;=20,"CRITICAL",IF(J121&gt;=12,"HIGH",IF(J121&gt;=6,"MEDIUM","LOW"))))</f>
        <v>LOW</v>
      </c>
      <c r="L121" s="23"/>
      <c r="M121" s="23"/>
      <c r="N121" s="23" t="n">
        <f aca="false">IF(J121="","",MAX(1,J121-IFERROR(M121*2,0)))</f>
        <v>1</v>
      </c>
      <c r="O121" s="23" t="str">
        <f aca="false">IF(N121="","",IF(N121&gt;=16,"CRITICAL",IF(N121&gt;=8,"HIGH",IF(N121&gt;=4,"MEDIUM","LOW"))))</f>
        <v>LOW</v>
      </c>
      <c r="P121" s="23"/>
      <c r="Q121" s="23"/>
      <c r="R121" s="23"/>
      <c r="S121" s="23"/>
      <c r="T121" s="128" t="s">
        <v>1706</v>
      </c>
      <c r="U121" s="23"/>
      <c r="V121" s="23"/>
    </row>
    <row r="122" customFormat="false" ht="45" hidden="false" customHeight="true" outlineLevel="0" collapsed="false">
      <c r="A122" s="47" t="s">
        <v>1918</v>
      </c>
      <c r="B122" s="39" t="s">
        <v>468</v>
      </c>
      <c r="C122" s="32" t="s">
        <v>404</v>
      </c>
      <c r="D122" s="32" t="s">
        <v>1919</v>
      </c>
      <c r="E122" s="32"/>
      <c r="F122" s="32"/>
      <c r="G122" s="32"/>
      <c r="H122" s="32"/>
      <c r="I122" s="32"/>
      <c r="J122" s="32" t="n">
        <f aca="false">H122*I122</f>
        <v>0</v>
      </c>
      <c r="K122" s="32" t="str">
        <f aca="false">IF(J122="","",IF(J122&gt;=20,"CRITICAL",IF(J122&gt;=12,"HIGH",IF(J122&gt;=6,"MEDIUM","LOW"))))</f>
        <v>LOW</v>
      </c>
      <c r="L122" s="32"/>
      <c r="M122" s="32"/>
      <c r="N122" s="32" t="n">
        <f aca="false">IF(J122="","",MAX(1,J122-IFERROR(M122*2,0)))</f>
        <v>1</v>
      </c>
      <c r="O122" s="32" t="str">
        <f aca="false">IF(N122="","",IF(N122&gt;=16,"CRITICAL",IF(N122&gt;=8,"HIGH",IF(N122&gt;=4,"MEDIUM","LOW"))))</f>
        <v>LOW</v>
      </c>
      <c r="P122" s="32"/>
      <c r="Q122" s="32"/>
      <c r="R122" s="32"/>
      <c r="S122" s="32"/>
      <c r="T122" s="128" t="s">
        <v>1706</v>
      </c>
      <c r="U122" s="32"/>
      <c r="V122" s="32"/>
    </row>
    <row r="123" customFormat="false" ht="45" hidden="false" customHeight="true" outlineLevel="0" collapsed="false">
      <c r="A123" s="45" t="s">
        <v>1920</v>
      </c>
      <c r="B123" s="24" t="s">
        <v>472</v>
      </c>
      <c r="C123" s="23" t="s">
        <v>404</v>
      </c>
      <c r="D123" s="23" t="s">
        <v>1921</v>
      </c>
      <c r="E123" s="23"/>
      <c r="F123" s="23"/>
      <c r="G123" s="23"/>
      <c r="H123" s="23"/>
      <c r="I123" s="23"/>
      <c r="J123" s="23" t="n">
        <f aca="false">H123*I123</f>
        <v>0</v>
      </c>
      <c r="K123" s="23" t="str">
        <f aca="false">IF(J123="","",IF(J123&gt;=20,"CRITICAL",IF(J123&gt;=12,"HIGH",IF(J123&gt;=6,"MEDIUM","LOW"))))</f>
        <v>LOW</v>
      </c>
      <c r="L123" s="23"/>
      <c r="M123" s="23"/>
      <c r="N123" s="23" t="n">
        <f aca="false">IF(J123="","",MAX(1,J123-IFERROR(M123*2,0)))</f>
        <v>1</v>
      </c>
      <c r="O123" s="23" t="str">
        <f aca="false">IF(N123="","",IF(N123&gt;=16,"CRITICAL",IF(N123&gt;=8,"HIGH",IF(N123&gt;=4,"MEDIUM","LOW"))))</f>
        <v>LOW</v>
      </c>
      <c r="P123" s="23"/>
      <c r="Q123" s="23"/>
      <c r="R123" s="23"/>
      <c r="S123" s="23"/>
      <c r="T123" s="128" t="s">
        <v>1706</v>
      </c>
      <c r="U123" s="23"/>
      <c r="V123" s="23"/>
    </row>
    <row r="124" customFormat="false" ht="45" hidden="false" customHeight="true" outlineLevel="0" collapsed="false">
      <c r="A124" s="47" t="s">
        <v>1922</v>
      </c>
      <c r="B124" s="39" t="s">
        <v>475</v>
      </c>
      <c r="C124" s="32" t="s">
        <v>404</v>
      </c>
      <c r="D124" s="32" t="s">
        <v>1923</v>
      </c>
      <c r="E124" s="32"/>
      <c r="F124" s="32"/>
      <c r="G124" s="32"/>
      <c r="H124" s="32"/>
      <c r="I124" s="32"/>
      <c r="J124" s="32" t="n">
        <f aca="false">H124*I124</f>
        <v>0</v>
      </c>
      <c r="K124" s="32" t="str">
        <f aca="false">IF(J124="","",IF(J124&gt;=20,"CRITICAL",IF(J124&gt;=12,"HIGH",IF(J124&gt;=6,"MEDIUM","LOW"))))</f>
        <v>LOW</v>
      </c>
      <c r="L124" s="32"/>
      <c r="M124" s="32"/>
      <c r="N124" s="32" t="n">
        <f aca="false">IF(J124="","",MAX(1,J124-IFERROR(M124*2,0)))</f>
        <v>1</v>
      </c>
      <c r="O124" s="32" t="str">
        <f aca="false">IF(N124="","",IF(N124&gt;=16,"CRITICAL",IF(N124&gt;=8,"HIGH",IF(N124&gt;=4,"MEDIUM","LOW"))))</f>
        <v>LOW</v>
      </c>
      <c r="P124" s="32"/>
      <c r="Q124" s="32"/>
      <c r="R124" s="32"/>
      <c r="S124" s="32"/>
      <c r="T124" s="128" t="s">
        <v>1706</v>
      </c>
      <c r="U124" s="32"/>
      <c r="V124" s="32"/>
    </row>
    <row r="125" customFormat="false" ht="45" hidden="false" customHeight="true" outlineLevel="0" collapsed="false">
      <c r="A125" s="45" t="s">
        <v>1924</v>
      </c>
      <c r="B125" s="24" t="s">
        <v>478</v>
      </c>
      <c r="C125" s="23" t="s">
        <v>404</v>
      </c>
      <c r="D125" s="23" t="s">
        <v>1925</v>
      </c>
      <c r="E125" s="23"/>
      <c r="F125" s="23"/>
      <c r="G125" s="23"/>
      <c r="H125" s="23"/>
      <c r="I125" s="23"/>
      <c r="J125" s="23" t="n">
        <f aca="false">H125*I125</f>
        <v>0</v>
      </c>
      <c r="K125" s="23" t="str">
        <f aca="false">IF(J125="","",IF(J125&gt;=20,"CRITICAL",IF(J125&gt;=12,"HIGH",IF(J125&gt;=6,"MEDIUM","LOW"))))</f>
        <v>LOW</v>
      </c>
      <c r="L125" s="23"/>
      <c r="M125" s="23"/>
      <c r="N125" s="23" t="n">
        <f aca="false">IF(J125="","",MAX(1,J125-IFERROR(M125*2,0)))</f>
        <v>1</v>
      </c>
      <c r="O125" s="23" t="str">
        <f aca="false">IF(N125="","",IF(N125&gt;=16,"CRITICAL",IF(N125&gt;=8,"HIGH",IF(N125&gt;=4,"MEDIUM","LOW"))))</f>
        <v>LOW</v>
      </c>
      <c r="P125" s="23"/>
      <c r="Q125" s="23"/>
      <c r="R125" s="23"/>
      <c r="S125" s="23"/>
      <c r="T125" s="128" t="s">
        <v>1706</v>
      </c>
      <c r="U125" s="23"/>
      <c r="V125" s="23"/>
    </row>
    <row r="126" customFormat="false" ht="45" hidden="false" customHeight="true" outlineLevel="0" collapsed="false">
      <c r="A126" s="47" t="s">
        <v>1926</v>
      </c>
      <c r="B126" s="39" t="s">
        <v>481</v>
      </c>
      <c r="C126" s="32" t="s">
        <v>404</v>
      </c>
      <c r="D126" s="32" t="s">
        <v>1927</v>
      </c>
      <c r="E126" s="32"/>
      <c r="F126" s="32"/>
      <c r="G126" s="32"/>
      <c r="H126" s="32"/>
      <c r="I126" s="32"/>
      <c r="J126" s="32" t="n">
        <f aca="false">H126*I126</f>
        <v>0</v>
      </c>
      <c r="K126" s="32" t="str">
        <f aca="false">IF(J126="","",IF(J126&gt;=20,"CRITICAL",IF(J126&gt;=12,"HIGH",IF(J126&gt;=6,"MEDIUM","LOW"))))</f>
        <v>LOW</v>
      </c>
      <c r="L126" s="32"/>
      <c r="M126" s="32"/>
      <c r="N126" s="32" t="n">
        <f aca="false">IF(J126="","",MAX(1,J126-IFERROR(M126*2,0)))</f>
        <v>1</v>
      </c>
      <c r="O126" s="32" t="str">
        <f aca="false">IF(N126="","",IF(N126&gt;=16,"CRITICAL",IF(N126&gt;=8,"HIGH",IF(N126&gt;=4,"MEDIUM","LOW"))))</f>
        <v>LOW</v>
      </c>
      <c r="P126" s="32"/>
      <c r="Q126" s="32"/>
      <c r="R126" s="32"/>
      <c r="S126" s="32"/>
      <c r="T126" s="128" t="s">
        <v>1706</v>
      </c>
      <c r="U126" s="32"/>
      <c r="V126" s="32"/>
    </row>
    <row r="127" customFormat="false" ht="45" hidden="false" customHeight="true" outlineLevel="0" collapsed="false">
      <c r="A127" s="45" t="s">
        <v>1928</v>
      </c>
      <c r="B127" s="116" t="s">
        <v>485</v>
      </c>
      <c r="C127" s="23" t="s">
        <v>484</v>
      </c>
      <c r="D127" s="23" t="s">
        <v>1929</v>
      </c>
      <c r="E127" s="23"/>
      <c r="F127" s="23"/>
      <c r="G127" s="23"/>
      <c r="H127" s="23"/>
      <c r="I127" s="23"/>
      <c r="J127" s="23" t="n">
        <f aca="false">H127*I127</f>
        <v>0</v>
      </c>
      <c r="K127" s="23" t="str">
        <f aca="false">IF(J127="","",IF(J127&gt;=20,"CRITICAL",IF(J127&gt;=12,"HIGH",IF(J127&gt;=6,"MEDIUM","LOW"))))</f>
        <v>LOW</v>
      </c>
      <c r="L127" s="23"/>
      <c r="M127" s="23"/>
      <c r="N127" s="23" t="n">
        <f aca="false">IF(J127="","",MAX(1,J127-IFERROR(M127*2,0)))</f>
        <v>1</v>
      </c>
      <c r="O127" s="23" t="str">
        <f aca="false">IF(N127="","",IF(N127&gt;=16,"CRITICAL",IF(N127&gt;=8,"HIGH",IF(N127&gt;=4,"MEDIUM","LOW"))))</f>
        <v>LOW</v>
      </c>
      <c r="P127" s="23"/>
      <c r="Q127" s="23"/>
      <c r="R127" s="23"/>
      <c r="S127" s="23"/>
      <c r="T127" s="128" t="s">
        <v>1706</v>
      </c>
      <c r="U127" s="23"/>
      <c r="V127" s="23"/>
    </row>
    <row r="128" customFormat="false" ht="45" hidden="false" customHeight="true" outlineLevel="0" collapsed="false">
      <c r="A128" s="47" t="s">
        <v>1930</v>
      </c>
      <c r="B128" s="117" t="s">
        <v>489</v>
      </c>
      <c r="C128" s="32" t="s">
        <v>484</v>
      </c>
      <c r="D128" s="32" t="s">
        <v>1843</v>
      </c>
      <c r="E128" s="32"/>
      <c r="F128" s="32"/>
      <c r="G128" s="32"/>
      <c r="H128" s="32"/>
      <c r="I128" s="32"/>
      <c r="J128" s="32" t="n">
        <f aca="false">H128*I128</f>
        <v>0</v>
      </c>
      <c r="K128" s="32" t="str">
        <f aca="false">IF(J128="","",IF(J128&gt;=20,"CRITICAL",IF(J128&gt;=12,"HIGH",IF(J128&gt;=6,"MEDIUM","LOW"))))</f>
        <v>LOW</v>
      </c>
      <c r="L128" s="32"/>
      <c r="M128" s="32"/>
      <c r="N128" s="32" t="n">
        <f aca="false">IF(J128="","",MAX(1,J128-IFERROR(M128*2,0)))</f>
        <v>1</v>
      </c>
      <c r="O128" s="32" t="str">
        <f aca="false">IF(N128="","",IF(N128&gt;=16,"CRITICAL",IF(N128&gt;=8,"HIGH",IF(N128&gt;=4,"MEDIUM","LOW"))))</f>
        <v>LOW</v>
      </c>
      <c r="P128" s="32"/>
      <c r="Q128" s="32"/>
      <c r="R128" s="32"/>
      <c r="S128" s="32"/>
      <c r="T128" s="128" t="s">
        <v>1706</v>
      </c>
      <c r="U128" s="32"/>
      <c r="V128" s="32"/>
    </row>
    <row r="129" customFormat="false" ht="45" hidden="false" customHeight="true" outlineLevel="0" collapsed="false">
      <c r="A129" s="45" t="s">
        <v>1931</v>
      </c>
      <c r="B129" s="116" t="s">
        <v>492</v>
      </c>
      <c r="C129" s="23" t="s">
        <v>484</v>
      </c>
      <c r="D129" s="23" t="s">
        <v>1932</v>
      </c>
      <c r="E129" s="23"/>
      <c r="F129" s="23"/>
      <c r="G129" s="23"/>
      <c r="H129" s="23"/>
      <c r="I129" s="23"/>
      <c r="J129" s="23" t="n">
        <f aca="false">H129*I129</f>
        <v>0</v>
      </c>
      <c r="K129" s="23" t="str">
        <f aca="false">IF(J129="","",IF(J129&gt;=20,"CRITICAL",IF(J129&gt;=12,"HIGH",IF(J129&gt;=6,"MEDIUM","LOW"))))</f>
        <v>LOW</v>
      </c>
      <c r="L129" s="23"/>
      <c r="M129" s="23"/>
      <c r="N129" s="23" t="n">
        <f aca="false">IF(J129="","",MAX(1,J129-IFERROR(M129*2,0)))</f>
        <v>1</v>
      </c>
      <c r="O129" s="23" t="str">
        <f aca="false">IF(N129="","",IF(N129&gt;=16,"CRITICAL",IF(N129&gt;=8,"HIGH",IF(N129&gt;=4,"MEDIUM","LOW"))))</f>
        <v>LOW</v>
      </c>
      <c r="P129" s="23"/>
      <c r="Q129" s="23"/>
      <c r="R129" s="23"/>
      <c r="S129" s="23"/>
      <c r="T129" s="128" t="s">
        <v>1706</v>
      </c>
      <c r="U129" s="23"/>
      <c r="V129" s="23"/>
    </row>
    <row r="130" customFormat="false" ht="45" hidden="false" customHeight="true" outlineLevel="0" collapsed="false">
      <c r="A130" s="47" t="s">
        <v>1933</v>
      </c>
      <c r="B130" s="117" t="s">
        <v>495</v>
      </c>
      <c r="C130" s="32" t="s">
        <v>484</v>
      </c>
      <c r="D130" s="32" t="s">
        <v>1934</v>
      </c>
      <c r="E130" s="32"/>
      <c r="F130" s="32"/>
      <c r="G130" s="32"/>
      <c r="H130" s="32"/>
      <c r="I130" s="32"/>
      <c r="J130" s="32" t="n">
        <f aca="false">H130*I130</f>
        <v>0</v>
      </c>
      <c r="K130" s="32" t="str">
        <f aca="false">IF(J130="","",IF(J130&gt;=20,"CRITICAL",IF(J130&gt;=12,"HIGH",IF(J130&gt;=6,"MEDIUM","LOW"))))</f>
        <v>LOW</v>
      </c>
      <c r="L130" s="32"/>
      <c r="M130" s="32"/>
      <c r="N130" s="32" t="n">
        <f aca="false">IF(J130="","",MAX(1,J130-IFERROR(M130*2,0)))</f>
        <v>1</v>
      </c>
      <c r="O130" s="32" t="str">
        <f aca="false">IF(N130="","",IF(N130&gt;=16,"CRITICAL",IF(N130&gt;=8,"HIGH",IF(N130&gt;=4,"MEDIUM","LOW"))))</f>
        <v>LOW</v>
      </c>
      <c r="P130" s="32"/>
      <c r="Q130" s="32"/>
      <c r="R130" s="32"/>
      <c r="S130" s="32"/>
      <c r="T130" s="128" t="s">
        <v>1706</v>
      </c>
      <c r="U130" s="32"/>
      <c r="V130" s="32"/>
    </row>
    <row r="131" customFormat="false" ht="45" hidden="false" customHeight="true" outlineLevel="0" collapsed="false">
      <c r="A131" s="45" t="s">
        <v>1935</v>
      </c>
      <c r="B131" s="116" t="s">
        <v>499</v>
      </c>
      <c r="C131" s="23" t="s">
        <v>484</v>
      </c>
      <c r="D131" s="23" t="s">
        <v>1936</v>
      </c>
      <c r="E131" s="23"/>
      <c r="F131" s="23"/>
      <c r="G131" s="23"/>
      <c r="H131" s="23"/>
      <c r="I131" s="23"/>
      <c r="J131" s="23" t="n">
        <f aca="false">H131*I131</f>
        <v>0</v>
      </c>
      <c r="K131" s="23" t="str">
        <f aca="false">IF(J131="","",IF(J131&gt;=20,"CRITICAL",IF(J131&gt;=12,"HIGH",IF(J131&gt;=6,"MEDIUM","LOW"))))</f>
        <v>LOW</v>
      </c>
      <c r="L131" s="23"/>
      <c r="M131" s="23"/>
      <c r="N131" s="23" t="n">
        <f aca="false">IF(J131="","",MAX(1,J131-IFERROR(M131*2,0)))</f>
        <v>1</v>
      </c>
      <c r="O131" s="23" t="str">
        <f aca="false">IF(N131="","",IF(N131&gt;=16,"CRITICAL",IF(N131&gt;=8,"HIGH",IF(N131&gt;=4,"MEDIUM","LOW"))))</f>
        <v>LOW</v>
      </c>
      <c r="P131" s="23"/>
      <c r="Q131" s="23"/>
      <c r="R131" s="23"/>
      <c r="S131" s="23"/>
      <c r="T131" s="128" t="s">
        <v>1706</v>
      </c>
      <c r="U131" s="23"/>
      <c r="V131" s="23"/>
    </row>
    <row r="132" customFormat="false" ht="45" hidden="false" customHeight="true" outlineLevel="0" collapsed="false">
      <c r="A132" s="47" t="s">
        <v>1937</v>
      </c>
      <c r="B132" s="117" t="s">
        <v>502</v>
      </c>
      <c r="C132" s="32" t="s">
        <v>484</v>
      </c>
      <c r="D132" s="32" t="s">
        <v>1938</v>
      </c>
      <c r="E132" s="32"/>
      <c r="F132" s="32"/>
      <c r="G132" s="32"/>
      <c r="H132" s="32"/>
      <c r="I132" s="32"/>
      <c r="J132" s="32" t="n">
        <f aca="false">H132*I132</f>
        <v>0</v>
      </c>
      <c r="K132" s="32" t="str">
        <f aca="false">IF(J132="","",IF(J132&gt;=20,"CRITICAL",IF(J132&gt;=12,"HIGH",IF(J132&gt;=6,"MEDIUM","LOW"))))</f>
        <v>LOW</v>
      </c>
      <c r="L132" s="32"/>
      <c r="M132" s="32"/>
      <c r="N132" s="32" t="n">
        <f aca="false">IF(J132="","",MAX(1,J132-IFERROR(M132*2,0)))</f>
        <v>1</v>
      </c>
      <c r="O132" s="32" t="str">
        <f aca="false">IF(N132="","",IF(N132&gt;=16,"CRITICAL",IF(N132&gt;=8,"HIGH",IF(N132&gt;=4,"MEDIUM","LOW"))))</f>
        <v>LOW</v>
      </c>
      <c r="P132" s="32"/>
      <c r="Q132" s="32"/>
      <c r="R132" s="32"/>
      <c r="S132" s="32"/>
      <c r="T132" s="128" t="s">
        <v>1706</v>
      </c>
      <c r="U132" s="32"/>
      <c r="V132" s="32"/>
    </row>
    <row r="133" customFormat="false" ht="45" hidden="false" customHeight="true" outlineLevel="0" collapsed="false">
      <c r="A133" s="45" t="s">
        <v>1939</v>
      </c>
      <c r="B133" s="116" t="s">
        <v>505</v>
      </c>
      <c r="C133" s="23" t="s">
        <v>484</v>
      </c>
      <c r="D133" s="23" t="s">
        <v>506</v>
      </c>
      <c r="E133" s="23"/>
      <c r="F133" s="23"/>
      <c r="G133" s="23"/>
      <c r="H133" s="23"/>
      <c r="I133" s="23"/>
      <c r="J133" s="23" t="n">
        <f aca="false">H133*I133</f>
        <v>0</v>
      </c>
      <c r="K133" s="23" t="str">
        <f aca="false">IF(J133="","",IF(J133&gt;=20,"CRITICAL",IF(J133&gt;=12,"HIGH",IF(J133&gt;=6,"MEDIUM","LOW"))))</f>
        <v>LOW</v>
      </c>
      <c r="L133" s="23"/>
      <c r="M133" s="23"/>
      <c r="N133" s="23" t="n">
        <f aca="false">IF(J133="","",MAX(1,J133-IFERROR(M133*2,0)))</f>
        <v>1</v>
      </c>
      <c r="O133" s="23" t="str">
        <f aca="false">IF(N133="","",IF(N133&gt;=16,"CRITICAL",IF(N133&gt;=8,"HIGH",IF(N133&gt;=4,"MEDIUM","LOW"))))</f>
        <v>LOW</v>
      </c>
      <c r="P133" s="23"/>
      <c r="Q133" s="23"/>
      <c r="R133" s="23"/>
      <c r="S133" s="23"/>
      <c r="T133" s="128" t="s">
        <v>1706</v>
      </c>
      <c r="U133" s="23"/>
      <c r="V133" s="23"/>
    </row>
    <row r="134" customFormat="false" ht="45" hidden="false" customHeight="true" outlineLevel="0" collapsed="false">
      <c r="A134" s="47" t="s">
        <v>1940</v>
      </c>
      <c r="B134" s="117" t="s">
        <v>509</v>
      </c>
      <c r="C134" s="32" t="s">
        <v>484</v>
      </c>
      <c r="D134" s="32" t="s">
        <v>1941</v>
      </c>
      <c r="E134" s="32"/>
      <c r="F134" s="32"/>
      <c r="G134" s="32"/>
      <c r="H134" s="32"/>
      <c r="I134" s="32"/>
      <c r="J134" s="32" t="n">
        <f aca="false">H134*I134</f>
        <v>0</v>
      </c>
      <c r="K134" s="32" t="str">
        <f aca="false">IF(J134="","",IF(J134&gt;=20,"CRITICAL",IF(J134&gt;=12,"HIGH",IF(J134&gt;=6,"MEDIUM","LOW"))))</f>
        <v>LOW</v>
      </c>
      <c r="L134" s="32"/>
      <c r="M134" s="32"/>
      <c r="N134" s="32" t="n">
        <f aca="false">IF(J134="","",MAX(1,J134-IFERROR(M134*2,0)))</f>
        <v>1</v>
      </c>
      <c r="O134" s="32" t="str">
        <f aca="false">IF(N134="","",IF(N134&gt;=16,"CRITICAL",IF(N134&gt;=8,"HIGH",IF(N134&gt;=4,"MEDIUM","LOW"))))</f>
        <v>LOW</v>
      </c>
      <c r="P134" s="32"/>
      <c r="Q134" s="32"/>
      <c r="R134" s="32"/>
      <c r="S134" s="32"/>
      <c r="T134" s="128" t="s">
        <v>1706</v>
      </c>
      <c r="U134" s="32"/>
      <c r="V134" s="32"/>
    </row>
    <row r="135" customFormat="false" ht="45" hidden="false" customHeight="true" outlineLevel="0" collapsed="false">
      <c r="A135" s="45" t="s">
        <v>1942</v>
      </c>
      <c r="B135" s="116" t="s">
        <v>512</v>
      </c>
      <c r="C135" s="23" t="s">
        <v>484</v>
      </c>
      <c r="D135" s="23" t="s">
        <v>1943</v>
      </c>
      <c r="E135" s="23"/>
      <c r="F135" s="23"/>
      <c r="G135" s="23"/>
      <c r="H135" s="23"/>
      <c r="I135" s="23"/>
      <c r="J135" s="23" t="n">
        <f aca="false">H135*I135</f>
        <v>0</v>
      </c>
      <c r="K135" s="23" t="str">
        <f aca="false">IF(J135="","",IF(J135&gt;=20,"CRITICAL",IF(J135&gt;=12,"HIGH",IF(J135&gt;=6,"MEDIUM","LOW"))))</f>
        <v>LOW</v>
      </c>
      <c r="L135" s="23"/>
      <c r="M135" s="23"/>
      <c r="N135" s="23" t="n">
        <f aca="false">IF(J135="","",MAX(1,J135-IFERROR(M135*2,0)))</f>
        <v>1</v>
      </c>
      <c r="O135" s="23" t="str">
        <f aca="false">IF(N135="","",IF(N135&gt;=16,"CRITICAL",IF(N135&gt;=8,"HIGH",IF(N135&gt;=4,"MEDIUM","LOW"))))</f>
        <v>LOW</v>
      </c>
      <c r="P135" s="23"/>
      <c r="Q135" s="23"/>
      <c r="R135" s="23"/>
      <c r="S135" s="23"/>
      <c r="T135" s="128" t="s">
        <v>1706</v>
      </c>
      <c r="U135" s="23"/>
      <c r="V135" s="23"/>
    </row>
    <row r="136" customFormat="false" ht="45" hidden="false" customHeight="true" outlineLevel="0" collapsed="false">
      <c r="A136" s="47" t="s">
        <v>1944</v>
      </c>
      <c r="B136" s="117" t="s">
        <v>515</v>
      </c>
      <c r="C136" s="32" t="s">
        <v>484</v>
      </c>
      <c r="D136" s="32" t="s">
        <v>1945</v>
      </c>
      <c r="E136" s="32"/>
      <c r="F136" s="32"/>
      <c r="G136" s="32"/>
      <c r="H136" s="32"/>
      <c r="I136" s="32"/>
      <c r="J136" s="32" t="n">
        <f aca="false">H136*I136</f>
        <v>0</v>
      </c>
      <c r="K136" s="32" t="str">
        <f aca="false">IF(J136="","",IF(J136&gt;=20,"CRITICAL",IF(J136&gt;=12,"HIGH",IF(J136&gt;=6,"MEDIUM","LOW"))))</f>
        <v>LOW</v>
      </c>
      <c r="L136" s="32"/>
      <c r="M136" s="32"/>
      <c r="N136" s="32" t="n">
        <f aca="false">IF(J136="","",MAX(1,J136-IFERROR(M136*2,0)))</f>
        <v>1</v>
      </c>
      <c r="O136" s="32" t="str">
        <f aca="false">IF(N136="","",IF(N136&gt;=16,"CRITICAL",IF(N136&gt;=8,"HIGH",IF(N136&gt;=4,"MEDIUM","LOW"))))</f>
        <v>LOW</v>
      </c>
      <c r="P136" s="32"/>
      <c r="Q136" s="32"/>
      <c r="R136" s="32"/>
      <c r="S136" s="32"/>
      <c r="T136" s="128" t="s">
        <v>1706</v>
      </c>
      <c r="U136" s="32"/>
      <c r="V136" s="32"/>
    </row>
    <row r="137" customFormat="false" ht="45" hidden="false" customHeight="true" outlineLevel="0" collapsed="false">
      <c r="A137" s="45" t="s">
        <v>1946</v>
      </c>
      <c r="B137" s="116" t="s">
        <v>518</v>
      </c>
      <c r="C137" s="23" t="s">
        <v>484</v>
      </c>
      <c r="D137" s="23" t="s">
        <v>1947</v>
      </c>
      <c r="E137" s="23"/>
      <c r="F137" s="23"/>
      <c r="G137" s="23"/>
      <c r="H137" s="23"/>
      <c r="I137" s="23"/>
      <c r="J137" s="23" t="n">
        <f aca="false">H137*I137</f>
        <v>0</v>
      </c>
      <c r="K137" s="23" t="str">
        <f aca="false">IF(J137="","",IF(J137&gt;=20,"CRITICAL",IF(J137&gt;=12,"HIGH",IF(J137&gt;=6,"MEDIUM","LOW"))))</f>
        <v>LOW</v>
      </c>
      <c r="L137" s="23"/>
      <c r="M137" s="23"/>
      <c r="N137" s="23" t="n">
        <f aca="false">IF(J137="","",MAX(1,J137-IFERROR(M137*2,0)))</f>
        <v>1</v>
      </c>
      <c r="O137" s="23" t="str">
        <f aca="false">IF(N137="","",IF(N137&gt;=16,"CRITICAL",IF(N137&gt;=8,"HIGH",IF(N137&gt;=4,"MEDIUM","LOW"))))</f>
        <v>LOW</v>
      </c>
      <c r="P137" s="23"/>
      <c r="Q137" s="23"/>
      <c r="R137" s="23"/>
      <c r="S137" s="23"/>
      <c r="T137" s="128" t="s">
        <v>1706</v>
      </c>
      <c r="U137" s="23"/>
      <c r="V137" s="23"/>
    </row>
    <row r="138" customFormat="false" ht="45" hidden="false" customHeight="true" outlineLevel="0" collapsed="false">
      <c r="A138" s="47" t="s">
        <v>1948</v>
      </c>
      <c r="B138" s="117" t="s">
        <v>521</v>
      </c>
      <c r="C138" s="32" t="s">
        <v>484</v>
      </c>
      <c r="D138" s="32" t="s">
        <v>1949</v>
      </c>
      <c r="E138" s="32"/>
      <c r="F138" s="32"/>
      <c r="G138" s="32"/>
      <c r="H138" s="32"/>
      <c r="I138" s="32"/>
      <c r="J138" s="32" t="n">
        <f aca="false">H138*I138</f>
        <v>0</v>
      </c>
      <c r="K138" s="32" t="str">
        <f aca="false">IF(J138="","",IF(J138&gt;=20,"CRITICAL",IF(J138&gt;=12,"HIGH",IF(J138&gt;=6,"MEDIUM","LOW"))))</f>
        <v>LOW</v>
      </c>
      <c r="L138" s="32"/>
      <c r="M138" s="32"/>
      <c r="N138" s="32" t="n">
        <f aca="false">IF(J138="","",MAX(1,J138-IFERROR(M138*2,0)))</f>
        <v>1</v>
      </c>
      <c r="O138" s="32" t="str">
        <f aca="false">IF(N138="","",IF(N138&gt;=16,"CRITICAL",IF(N138&gt;=8,"HIGH",IF(N138&gt;=4,"MEDIUM","LOW"))))</f>
        <v>LOW</v>
      </c>
      <c r="P138" s="32"/>
      <c r="Q138" s="32"/>
      <c r="R138" s="32"/>
      <c r="S138" s="32"/>
      <c r="T138" s="128" t="s">
        <v>1706</v>
      </c>
      <c r="U138" s="32"/>
      <c r="V138" s="32"/>
    </row>
    <row r="139" customFormat="false" ht="45" hidden="false" customHeight="true" outlineLevel="0" collapsed="false">
      <c r="A139" s="45" t="s">
        <v>1950</v>
      </c>
      <c r="B139" s="116" t="s">
        <v>524</v>
      </c>
      <c r="C139" s="23" t="s">
        <v>484</v>
      </c>
      <c r="D139" s="23" t="s">
        <v>1951</v>
      </c>
      <c r="E139" s="23"/>
      <c r="F139" s="23"/>
      <c r="G139" s="23"/>
      <c r="H139" s="23"/>
      <c r="I139" s="23"/>
      <c r="J139" s="23" t="n">
        <f aca="false">H139*I139</f>
        <v>0</v>
      </c>
      <c r="K139" s="23" t="str">
        <f aca="false">IF(J139="","",IF(J139&gt;=20,"CRITICAL",IF(J139&gt;=12,"HIGH",IF(J139&gt;=6,"MEDIUM","LOW"))))</f>
        <v>LOW</v>
      </c>
      <c r="L139" s="23"/>
      <c r="M139" s="23"/>
      <c r="N139" s="23" t="n">
        <f aca="false">IF(J139="","",MAX(1,J139-IFERROR(M139*2,0)))</f>
        <v>1</v>
      </c>
      <c r="O139" s="23" t="str">
        <f aca="false">IF(N139="","",IF(N139&gt;=16,"CRITICAL",IF(N139&gt;=8,"HIGH",IF(N139&gt;=4,"MEDIUM","LOW"))))</f>
        <v>LOW</v>
      </c>
      <c r="P139" s="23"/>
      <c r="Q139" s="23"/>
      <c r="R139" s="23"/>
      <c r="S139" s="23"/>
      <c r="T139" s="128" t="s">
        <v>1706</v>
      </c>
      <c r="U139" s="23"/>
      <c r="V139" s="23"/>
    </row>
    <row r="140" customFormat="false" ht="45" hidden="false" customHeight="true" outlineLevel="0" collapsed="false">
      <c r="A140" s="47" t="s">
        <v>1952</v>
      </c>
      <c r="B140" s="117" t="s">
        <v>527</v>
      </c>
      <c r="C140" s="32" t="s">
        <v>484</v>
      </c>
      <c r="D140" s="32" t="s">
        <v>1953</v>
      </c>
      <c r="E140" s="32"/>
      <c r="F140" s="32"/>
      <c r="G140" s="32"/>
      <c r="H140" s="32"/>
      <c r="I140" s="32"/>
      <c r="J140" s="32" t="n">
        <f aca="false">H140*I140</f>
        <v>0</v>
      </c>
      <c r="K140" s="32" t="str">
        <f aca="false">IF(J140="","",IF(J140&gt;=20,"CRITICAL",IF(J140&gt;=12,"HIGH",IF(J140&gt;=6,"MEDIUM","LOW"))))</f>
        <v>LOW</v>
      </c>
      <c r="L140" s="32"/>
      <c r="M140" s="32"/>
      <c r="N140" s="32" t="n">
        <f aca="false">IF(J140="","",MAX(1,J140-IFERROR(M140*2,0)))</f>
        <v>1</v>
      </c>
      <c r="O140" s="32" t="str">
        <f aca="false">IF(N140="","",IF(N140&gt;=16,"CRITICAL",IF(N140&gt;=8,"HIGH",IF(N140&gt;=4,"MEDIUM","LOW"))))</f>
        <v>LOW</v>
      </c>
      <c r="P140" s="32"/>
      <c r="Q140" s="32"/>
      <c r="R140" s="32"/>
      <c r="S140" s="32"/>
      <c r="T140" s="128" t="s">
        <v>1706</v>
      </c>
      <c r="U140" s="32"/>
      <c r="V140" s="32"/>
    </row>
    <row r="141" customFormat="false" ht="45" hidden="false" customHeight="true" outlineLevel="0" collapsed="false">
      <c r="A141" s="45" t="s">
        <v>1954</v>
      </c>
      <c r="B141" s="116" t="s">
        <v>530</v>
      </c>
      <c r="C141" s="23" t="s">
        <v>484</v>
      </c>
      <c r="D141" s="23" t="s">
        <v>531</v>
      </c>
      <c r="E141" s="23"/>
      <c r="F141" s="23"/>
      <c r="G141" s="23"/>
      <c r="H141" s="23"/>
      <c r="I141" s="23"/>
      <c r="J141" s="23" t="n">
        <f aca="false">H141*I141</f>
        <v>0</v>
      </c>
      <c r="K141" s="23" t="str">
        <f aca="false">IF(J141="","",IF(J141&gt;=20,"CRITICAL",IF(J141&gt;=12,"HIGH",IF(J141&gt;=6,"MEDIUM","LOW"))))</f>
        <v>LOW</v>
      </c>
      <c r="L141" s="23"/>
      <c r="M141" s="23"/>
      <c r="N141" s="23" t="n">
        <f aca="false">IF(J141="","",MAX(1,J141-IFERROR(M141*2,0)))</f>
        <v>1</v>
      </c>
      <c r="O141" s="23" t="str">
        <f aca="false">IF(N141="","",IF(N141&gt;=16,"CRITICAL",IF(N141&gt;=8,"HIGH",IF(N141&gt;=4,"MEDIUM","LOW"))))</f>
        <v>LOW</v>
      </c>
      <c r="P141" s="23"/>
      <c r="Q141" s="23"/>
      <c r="R141" s="23"/>
      <c r="S141" s="23"/>
      <c r="T141" s="128" t="s">
        <v>1706</v>
      </c>
      <c r="U141" s="23"/>
      <c r="V141" s="23"/>
    </row>
    <row r="142" customFormat="false" ht="45" hidden="false" customHeight="true" outlineLevel="0" collapsed="false">
      <c r="A142" s="47" t="s">
        <v>1955</v>
      </c>
      <c r="B142" s="118" t="s">
        <v>534</v>
      </c>
      <c r="C142" s="32" t="s">
        <v>533</v>
      </c>
      <c r="D142" s="32" t="s">
        <v>1956</v>
      </c>
      <c r="E142" s="32"/>
      <c r="F142" s="32"/>
      <c r="G142" s="32"/>
      <c r="H142" s="32"/>
      <c r="I142" s="32"/>
      <c r="J142" s="32" t="n">
        <f aca="false">H142*I142</f>
        <v>0</v>
      </c>
      <c r="K142" s="32" t="str">
        <f aca="false">IF(J142="","",IF(J142&gt;=20,"CRITICAL",IF(J142&gt;=12,"HIGH",IF(J142&gt;=6,"MEDIUM","LOW"))))</f>
        <v>LOW</v>
      </c>
      <c r="L142" s="32"/>
      <c r="M142" s="32"/>
      <c r="N142" s="32" t="n">
        <f aca="false">IF(J142="","",MAX(1,J142-IFERROR(M142*2,0)))</f>
        <v>1</v>
      </c>
      <c r="O142" s="32" t="str">
        <f aca="false">IF(N142="","",IF(N142&gt;=16,"CRITICAL",IF(N142&gt;=8,"HIGH",IF(N142&gt;=4,"MEDIUM","LOW"))))</f>
        <v>LOW</v>
      </c>
      <c r="P142" s="32"/>
      <c r="Q142" s="32"/>
      <c r="R142" s="32"/>
      <c r="S142" s="32"/>
      <c r="T142" s="128" t="s">
        <v>1706</v>
      </c>
      <c r="U142" s="32"/>
      <c r="V142" s="32"/>
    </row>
    <row r="143" customFormat="false" ht="45" hidden="false" customHeight="true" outlineLevel="0" collapsed="false">
      <c r="A143" s="45" t="s">
        <v>1957</v>
      </c>
      <c r="B143" s="119" t="s">
        <v>538</v>
      </c>
      <c r="C143" s="23" t="s">
        <v>533</v>
      </c>
      <c r="D143" s="23" t="s">
        <v>1843</v>
      </c>
      <c r="E143" s="23"/>
      <c r="F143" s="23"/>
      <c r="G143" s="23"/>
      <c r="H143" s="23"/>
      <c r="I143" s="23"/>
      <c r="J143" s="23" t="n">
        <f aca="false">H143*I143</f>
        <v>0</v>
      </c>
      <c r="K143" s="23" t="str">
        <f aca="false">IF(J143="","",IF(J143&gt;=20,"CRITICAL",IF(J143&gt;=12,"HIGH",IF(J143&gt;=6,"MEDIUM","LOW"))))</f>
        <v>LOW</v>
      </c>
      <c r="L143" s="23"/>
      <c r="M143" s="23"/>
      <c r="N143" s="23" t="n">
        <f aca="false">IF(J143="","",MAX(1,J143-IFERROR(M143*2,0)))</f>
        <v>1</v>
      </c>
      <c r="O143" s="23" t="str">
        <f aca="false">IF(N143="","",IF(N143&gt;=16,"CRITICAL",IF(N143&gt;=8,"HIGH",IF(N143&gt;=4,"MEDIUM","LOW"))))</f>
        <v>LOW</v>
      </c>
      <c r="P143" s="23"/>
      <c r="Q143" s="23"/>
      <c r="R143" s="23"/>
      <c r="S143" s="23"/>
      <c r="T143" s="128" t="s">
        <v>1706</v>
      </c>
      <c r="U143" s="23"/>
      <c r="V143" s="23"/>
    </row>
    <row r="144" customFormat="false" ht="45" hidden="false" customHeight="true" outlineLevel="0" collapsed="false">
      <c r="A144" s="47" t="s">
        <v>1958</v>
      </c>
      <c r="B144" s="118" t="s">
        <v>541</v>
      </c>
      <c r="C144" s="32" t="s">
        <v>533</v>
      </c>
      <c r="D144" s="32" t="s">
        <v>1959</v>
      </c>
      <c r="E144" s="32"/>
      <c r="F144" s="32"/>
      <c r="G144" s="32"/>
      <c r="H144" s="32"/>
      <c r="I144" s="32"/>
      <c r="J144" s="32" t="n">
        <f aca="false">H144*I144</f>
        <v>0</v>
      </c>
      <c r="K144" s="32" t="str">
        <f aca="false">IF(J144="","",IF(J144&gt;=20,"CRITICAL",IF(J144&gt;=12,"HIGH",IF(J144&gt;=6,"MEDIUM","LOW"))))</f>
        <v>LOW</v>
      </c>
      <c r="L144" s="32"/>
      <c r="M144" s="32"/>
      <c r="N144" s="32" t="n">
        <f aca="false">IF(J144="","",MAX(1,J144-IFERROR(M144*2,0)))</f>
        <v>1</v>
      </c>
      <c r="O144" s="32" t="str">
        <f aca="false">IF(N144="","",IF(N144&gt;=16,"CRITICAL",IF(N144&gt;=8,"HIGH",IF(N144&gt;=4,"MEDIUM","LOW"))))</f>
        <v>LOW</v>
      </c>
      <c r="P144" s="32"/>
      <c r="Q144" s="32"/>
      <c r="R144" s="32"/>
      <c r="S144" s="32"/>
      <c r="T144" s="128" t="s">
        <v>1706</v>
      </c>
      <c r="U144" s="32"/>
      <c r="V144" s="32"/>
    </row>
    <row r="145" customFormat="false" ht="45" hidden="false" customHeight="true" outlineLevel="0" collapsed="false">
      <c r="A145" s="45" t="s">
        <v>1960</v>
      </c>
      <c r="B145" s="119" t="s">
        <v>544</v>
      </c>
      <c r="C145" s="23" t="s">
        <v>533</v>
      </c>
      <c r="D145" s="23" t="s">
        <v>1961</v>
      </c>
      <c r="E145" s="23"/>
      <c r="F145" s="23"/>
      <c r="G145" s="23"/>
      <c r="H145" s="23"/>
      <c r="I145" s="23"/>
      <c r="J145" s="23" t="n">
        <f aca="false">H145*I145</f>
        <v>0</v>
      </c>
      <c r="K145" s="23" t="str">
        <f aca="false">IF(J145="","",IF(J145&gt;=20,"CRITICAL",IF(J145&gt;=12,"HIGH",IF(J145&gt;=6,"MEDIUM","LOW"))))</f>
        <v>LOW</v>
      </c>
      <c r="L145" s="23"/>
      <c r="M145" s="23"/>
      <c r="N145" s="23" t="n">
        <f aca="false">IF(J145="","",MAX(1,J145-IFERROR(M145*2,0)))</f>
        <v>1</v>
      </c>
      <c r="O145" s="23" t="str">
        <f aca="false">IF(N145="","",IF(N145&gt;=16,"CRITICAL",IF(N145&gt;=8,"HIGH",IF(N145&gt;=4,"MEDIUM","LOW"))))</f>
        <v>LOW</v>
      </c>
      <c r="P145" s="23"/>
      <c r="Q145" s="23"/>
      <c r="R145" s="23"/>
      <c r="S145" s="23"/>
      <c r="T145" s="128" t="s">
        <v>1706</v>
      </c>
      <c r="U145" s="23"/>
      <c r="V145" s="23"/>
    </row>
    <row r="146" customFormat="false" ht="45" hidden="false" customHeight="true" outlineLevel="0" collapsed="false">
      <c r="A146" s="47" t="s">
        <v>1962</v>
      </c>
      <c r="B146" s="118" t="s">
        <v>547</v>
      </c>
      <c r="C146" s="32" t="s">
        <v>533</v>
      </c>
      <c r="D146" s="32" t="s">
        <v>1963</v>
      </c>
      <c r="E146" s="32"/>
      <c r="F146" s="32"/>
      <c r="G146" s="32"/>
      <c r="H146" s="32"/>
      <c r="I146" s="32"/>
      <c r="J146" s="32" t="n">
        <f aca="false">H146*I146</f>
        <v>0</v>
      </c>
      <c r="K146" s="32" t="str">
        <f aca="false">IF(J146="","",IF(J146&gt;=20,"CRITICAL",IF(J146&gt;=12,"HIGH",IF(J146&gt;=6,"MEDIUM","LOW"))))</f>
        <v>LOW</v>
      </c>
      <c r="L146" s="32"/>
      <c r="M146" s="32"/>
      <c r="N146" s="32" t="n">
        <f aca="false">IF(J146="","",MAX(1,J146-IFERROR(M146*2,0)))</f>
        <v>1</v>
      </c>
      <c r="O146" s="32" t="str">
        <f aca="false">IF(N146="","",IF(N146&gt;=16,"CRITICAL",IF(N146&gt;=8,"HIGH",IF(N146&gt;=4,"MEDIUM","LOW"))))</f>
        <v>LOW</v>
      </c>
      <c r="P146" s="32"/>
      <c r="Q146" s="32"/>
      <c r="R146" s="32"/>
      <c r="S146" s="32"/>
      <c r="T146" s="128" t="s">
        <v>1706</v>
      </c>
      <c r="U146" s="32"/>
      <c r="V146" s="32"/>
    </row>
    <row r="147" customFormat="false" ht="45" hidden="false" customHeight="true" outlineLevel="0" collapsed="false">
      <c r="A147" s="45" t="s">
        <v>1964</v>
      </c>
      <c r="B147" s="119" t="s">
        <v>550</v>
      </c>
      <c r="C147" s="23" t="s">
        <v>533</v>
      </c>
      <c r="D147" s="23" t="s">
        <v>1965</v>
      </c>
      <c r="E147" s="23"/>
      <c r="F147" s="23"/>
      <c r="G147" s="23"/>
      <c r="H147" s="23"/>
      <c r="I147" s="23"/>
      <c r="J147" s="23" t="n">
        <f aca="false">H147*I147</f>
        <v>0</v>
      </c>
      <c r="K147" s="23" t="str">
        <f aca="false">IF(J147="","",IF(J147&gt;=20,"CRITICAL",IF(J147&gt;=12,"HIGH",IF(J147&gt;=6,"MEDIUM","LOW"))))</f>
        <v>LOW</v>
      </c>
      <c r="L147" s="23"/>
      <c r="M147" s="23"/>
      <c r="N147" s="23" t="n">
        <f aca="false">IF(J147="","",MAX(1,J147-IFERROR(M147*2,0)))</f>
        <v>1</v>
      </c>
      <c r="O147" s="23" t="str">
        <f aca="false">IF(N147="","",IF(N147&gt;=16,"CRITICAL",IF(N147&gt;=8,"HIGH",IF(N147&gt;=4,"MEDIUM","LOW"))))</f>
        <v>LOW</v>
      </c>
      <c r="P147" s="23"/>
      <c r="Q147" s="23"/>
      <c r="R147" s="23"/>
      <c r="S147" s="23"/>
      <c r="T147" s="128" t="s">
        <v>1706</v>
      </c>
      <c r="U147" s="23"/>
      <c r="V147" s="23"/>
    </row>
    <row r="148" customFormat="false" ht="45" hidden="false" customHeight="true" outlineLevel="0" collapsed="false">
      <c r="A148" s="47" t="s">
        <v>1966</v>
      </c>
      <c r="B148" s="118" t="s">
        <v>554</v>
      </c>
      <c r="C148" s="32" t="s">
        <v>533</v>
      </c>
      <c r="D148" s="32" t="s">
        <v>1967</v>
      </c>
      <c r="E148" s="32"/>
      <c r="F148" s="32"/>
      <c r="G148" s="32"/>
      <c r="H148" s="32"/>
      <c r="I148" s="32"/>
      <c r="J148" s="32" t="n">
        <f aca="false">H148*I148</f>
        <v>0</v>
      </c>
      <c r="K148" s="32" t="str">
        <f aca="false">IF(J148="","",IF(J148&gt;=20,"CRITICAL",IF(J148&gt;=12,"HIGH",IF(J148&gt;=6,"MEDIUM","LOW"))))</f>
        <v>LOW</v>
      </c>
      <c r="L148" s="32"/>
      <c r="M148" s="32"/>
      <c r="N148" s="32" t="n">
        <f aca="false">IF(J148="","",MAX(1,J148-IFERROR(M148*2,0)))</f>
        <v>1</v>
      </c>
      <c r="O148" s="32" t="str">
        <f aca="false">IF(N148="","",IF(N148&gt;=16,"CRITICAL",IF(N148&gt;=8,"HIGH",IF(N148&gt;=4,"MEDIUM","LOW"))))</f>
        <v>LOW</v>
      </c>
      <c r="P148" s="32"/>
      <c r="Q148" s="32"/>
      <c r="R148" s="32"/>
      <c r="S148" s="32"/>
      <c r="T148" s="128" t="s">
        <v>1706</v>
      </c>
      <c r="U148" s="32"/>
      <c r="V148" s="32"/>
    </row>
    <row r="149" customFormat="false" ht="45" hidden="false" customHeight="true" outlineLevel="0" collapsed="false">
      <c r="A149" s="45" t="s">
        <v>1968</v>
      </c>
      <c r="B149" s="119" t="s">
        <v>557</v>
      </c>
      <c r="C149" s="23" t="s">
        <v>533</v>
      </c>
      <c r="D149" s="23" t="s">
        <v>1969</v>
      </c>
      <c r="E149" s="23"/>
      <c r="F149" s="23"/>
      <c r="G149" s="23"/>
      <c r="H149" s="23"/>
      <c r="I149" s="23"/>
      <c r="J149" s="23" t="n">
        <f aca="false">H149*I149</f>
        <v>0</v>
      </c>
      <c r="K149" s="23" t="str">
        <f aca="false">IF(J149="","",IF(J149&gt;=20,"CRITICAL",IF(J149&gt;=12,"HIGH",IF(J149&gt;=6,"MEDIUM","LOW"))))</f>
        <v>LOW</v>
      </c>
      <c r="L149" s="23"/>
      <c r="M149" s="23"/>
      <c r="N149" s="23" t="n">
        <f aca="false">IF(J149="","",MAX(1,J149-IFERROR(M149*2,0)))</f>
        <v>1</v>
      </c>
      <c r="O149" s="23" t="str">
        <f aca="false">IF(N149="","",IF(N149&gt;=16,"CRITICAL",IF(N149&gt;=8,"HIGH",IF(N149&gt;=4,"MEDIUM","LOW"))))</f>
        <v>LOW</v>
      </c>
      <c r="P149" s="23"/>
      <c r="Q149" s="23"/>
      <c r="R149" s="23"/>
      <c r="S149" s="23"/>
      <c r="T149" s="128" t="s">
        <v>1706</v>
      </c>
      <c r="U149" s="23"/>
      <c r="V149" s="23"/>
    </row>
    <row r="150" customFormat="false" ht="45" hidden="false" customHeight="true" outlineLevel="0" collapsed="false">
      <c r="A150" s="47" t="s">
        <v>1970</v>
      </c>
      <c r="B150" s="118" t="s">
        <v>560</v>
      </c>
      <c r="C150" s="32" t="s">
        <v>533</v>
      </c>
      <c r="D150" s="32" t="s">
        <v>561</v>
      </c>
      <c r="E150" s="32"/>
      <c r="F150" s="32"/>
      <c r="G150" s="32"/>
      <c r="H150" s="32"/>
      <c r="I150" s="32"/>
      <c r="J150" s="32" t="n">
        <f aca="false">H150*I150</f>
        <v>0</v>
      </c>
      <c r="K150" s="32" t="str">
        <f aca="false">IF(J150="","",IF(J150&gt;=20,"CRITICAL",IF(J150&gt;=12,"HIGH",IF(J150&gt;=6,"MEDIUM","LOW"))))</f>
        <v>LOW</v>
      </c>
      <c r="L150" s="32"/>
      <c r="M150" s="32"/>
      <c r="N150" s="32" t="n">
        <f aca="false">IF(J150="","",MAX(1,J150-IFERROR(M150*2,0)))</f>
        <v>1</v>
      </c>
      <c r="O150" s="32" t="str">
        <f aca="false">IF(N150="","",IF(N150&gt;=16,"CRITICAL",IF(N150&gt;=8,"HIGH",IF(N150&gt;=4,"MEDIUM","LOW"))))</f>
        <v>LOW</v>
      </c>
      <c r="P150" s="32"/>
      <c r="Q150" s="32"/>
      <c r="R150" s="32"/>
      <c r="S150" s="32"/>
      <c r="T150" s="128" t="s">
        <v>1706</v>
      </c>
      <c r="U150" s="32"/>
      <c r="V150" s="32"/>
    </row>
    <row r="151" customFormat="false" ht="45" hidden="false" customHeight="true" outlineLevel="0" collapsed="false">
      <c r="A151" s="45" t="s">
        <v>1971</v>
      </c>
      <c r="B151" s="119" t="s">
        <v>564</v>
      </c>
      <c r="C151" s="23" t="s">
        <v>533</v>
      </c>
      <c r="D151" s="23" t="s">
        <v>1972</v>
      </c>
      <c r="E151" s="23"/>
      <c r="F151" s="23"/>
      <c r="G151" s="23"/>
      <c r="H151" s="23"/>
      <c r="I151" s="23"/>
      <c r="J151" s="23" t="n">
        <f aca="false">H151*I151</f>
        <v>0</v>
      </c>
      <c r="K151" s="23" t="str">
        <f aca="false">IF(J151="","",IF(J151&gt;=20,"CRITICAL",IF(J151&gt;=12,"HIGH",IF(J151&gt;=6,"MEDIUM","LOW"))))</f>
        <v>LOW</v>
      </c>
      <c r="L151" s="23"/>
      <c r="M151" s="23"/>
      <c r="N151" s="23" t="n">
        <f aca="false">IF(J151="","",MAX(1,J151-IFERROR(M151*2,0)))</f>
        <v>1</v>
      </c>
      <c r="O151" s="23" t="str">
        <f aca="false">IF(N151="","",IF(N151&gt;=16,"CRITICAL",IF(N151&gt;=8,"HIGH",IF(N151&gt;=4,"MEDIUM","LOW"))))</f>
        <v>LOW</v>
      </c>
      <c r="P151" s="23"/>
      <c r="Q151" s="23"/>
      <c r="R151" s="23"/>
      <c r="S151" s="23"/>
      <c r="T151" s="128" t="s">
        <v>1706</v>
      </c>
      <c r="U151" s="23"/>
      <c r="V151" s="23"/>
    </row>
    <row r="152" customFormat="false" ht="45" hidden="false" customHeight="true" outlineLevel="0" collapsed="false">
      <c r="A152" s="47" t="s">
        <v>1973</v>
      </c>
      <c r="B152" s="118" t="s">
        <v>567</v>
      </c>
      <c r="C152" s="32" t="s">
        <v>533</v>
      </c>
      <c r="D152" s="32" t="s">
        <v>1974</v>
      </c>
      <c r="E152" s="32"/>
      <c r="F152" s="32"/>
      <c r="G152" s="32"/>
      <c r="H152" s="32"/>
      <c r="I152" s="32"/>
      <c r="J152" s="32" t="n">
        <f aca="false">H152*I152</f>
        <v>0</v>
      </c>
      <c r="K152" s="32" t="str">
        <f aca="false">IF(J152="","",IF(J152&gt;=20,"CRITICAL",IF(J152&gt;=12,"HIGH",IF(J152&gt;=6,"MEDIUM","LOW"))))</f>
        <v>LOW</v>
      </c>
      <c r="L152" s="32"/>
      <c r="M152" s="32"/>
      <c r="N152" s="32" t="n">
        <f aca="false">IF(J152="","",MAX(1,J152-IFERROR(M152*2,0)))</f>
        <v>1</v>
      </c>
      <c r="O152" s="32" t="str">
        <f aca="false">IF(N152="","",IF(N152&gt;=16,"CRITICAL",IF(N152&gt;=8,"HIGH",IF(N152&gt;=4,"MEDIUM","LOW"))))</f>
        <v>LOW</v>
      </c>
      <c r="P152" s="32"/>
      <c r="Q152" s="32"/>
      <c r="R152" s="32"/>
      <c r="S152" s="32"/>
      <c r="T152" s="128" t="s">
        <v>1706</v>
      </c>
      <c r="U152" s="32"/>
      <c r="V152" s="32"/>
    </row>
    <row r="153" customFormat="false" ht="45" hidden="false" customHeight="true" outlineLevel="0" collapsed="false">
      <c r="A153" s="45" t="s">
        <v>1975</v>
      </c>
      <c r="B153" s="119" t="s">
        <v>570</v>
      </c>
      <c r="C153" s="23" t="s">
        <v>533</v>
      </c>
      <c r="D153" s="23" t="s">
        <v>1976</v>
      </c>
      <c r="E153" s="23"/>
      <c r="F153" s="23"/>
      <c r="G153" s="23"/>
      <c r="H153" s="23"/>
      <c r="I153" s="23"/>
      <c r="J153" s="23" t="n">
        <f aca="false">H153*I153</f>
        <v>0</v>
      </c>
      <c r="K153" s="23" t="str">
        <f aca="false">IF(J153="","",IF(J153&gt;=20,"CRITICAL",IF(J153&gt;=12,"HIGH",IF(J153&gt;=6,"MEDIUM","LOW"))))</f>
        <v>LOW</v>
      </c>
      <c r="L153" s="23"/>
      <c r="M153" s="23"/>
      <c r="N153" s="23" t="n">
        <f aca="false">IF(J153="","",MAX(1,J153-IFERROR(M153*2,0)))</f>
        <v>1</v>
      </c>
      <c r="O153" s="23" t="str">
        <f aca="false">IF(N153="","",IF(N153&gt;=16,"CRITICAL",IF(N153&gt;=8,"HIGH",IF(N153&gt;=4,"MEDIUM","LOW"))))</f>
        <v>LOW</v>
      </c>
      <c r="P153" s="23"/>
      <c r="Q153" s="23"/>
      <c r="R153" s="23"/>
      <c r="S153" s="23"/>
      <c r="T153" s="128" t="s">
        <v>1706</v>
      </c>
      <c r="U153" s="23"/>
      <c r="V153" s="23"/>
    </row>
    <row r="154" customFormat="false" ht="45" hidden="false" customHeight="true" outlineLevel="0" collapsed="false">
      <c r="A154" s="47" t="s">
        <v>1977</v>
      </c>
      <c r="B154" s="118" t="s">
        <v>573</v>
      </c>
      <c r="C154" s="32" t="s">
        <v>533</v>
      </c>
      <c r="D154" s="32" t="s">
        <v>1978</v>
      </c>
      <c r="E154" s="32"/>
      <c r="F154" s="32"/>
      <c r="G154" s="32"/>
      <c r="H154" s="32"/>
      <c r="I154" s="32"/>
      <c r="J154" s="32" t="n">
        <f aca="false">H154*I154</f>
        <v>0</v>
      </c>
      <c r="K154" s="32" t="str">
        <f aca="false">IF(J154="","",IF(J154&gt;=20,"CRITICAL",IF(J154&gt;=12,"HIGH",IF(J154&gt;=6,"MEDIUM","LOW"))))</f>
        <v>LOW</v>
      </c>
      <c r="L154" s="32"/>
      <c r="M154" s="32"/>
      <c r="N154" s="32" t="n">
        <f aca="false">IF(J154="","",MAX(1,J154-IFERROR(M154*2,0)))</f>
        <v>1</v>
      </c>
      <c r="O154" s="32" t="str">
        <f aca="false">IF(N154="","",IF(N154&gt;=16,"CRITICAL",IF(N154&gt;=8,"HIGH",IF(N154&gt;=4,"MEDIUM","LOW"))))</f>
        <v>LOW</v>
      </c>
      <c r="P154" s="32"/>
      <c r="Q154" s="32"/>
      <c r="R154" s="32"/>
      <c r="S154" s="32"/>
      <c r="T154" s="128" t="s">
        <v>1706</v>
      </c>
      <c r="U154" s="32"/>
      <c r="V154" s="32"/>
    </row>
    <row r="155" customFormat="false" ht="45" hidden="false" customHeight="true" outlineLevel="0" collapsed="false">
      <c r="A155" s="45" t="s">
        <v>1979</v>
      </c>
      <c r="B155" s="119" t="s">
        <v>576</v>
      </c>
      <c r="C155" s="23" t="s">
        <v>533</v>
      </c>
      <c r="D155" s="23" t="s">
        <v>1980</v>
      </c>
      <c r="E155" s="23"/>
      <c r="F155" s="23"/>
      <c r="G155" s="23"/>
      <c r="H155" s="23"/>
      <c r="I155" s="23"/>
      <c r="J155" s="23" t="n">
        <f aca="false">H155*I155</f>
        <v>0</v>
      </c>
      <c r="K155" s="23" t="str">
        <f aca="false">IF(J155="","",IF(J155&gt;=20,"CRITICAL",IF(J155&gt;=12,"HIGH",IF(J155&gt;=6,"MEDIUM","LOW"))))</f>
        <v>LOW</v>
      </c>
      <c r="L155" s="23"/>
      <c r="M155" s="23"/>
      <c r="N155" s="23" t="n">
        <f aca="false">IF(J155="","",MAX(1,J155-IFERROR(M155*2,0)))</f>
        <v>1</v>
      </c>
      <c r="O155" s="23" t="str">
        <f aca="false">IF(N155="","",IF(N155&gt;=16,"CRITICAL",IF(N155&gt;=8,"HIGH",IF(N155&gt;=4,"MEDIUM","LOW"))))</f>
        <v>LOW</v>
      </c>
      <c r="P155" s="23"/>
      <c r="Q155" s="23"/>
      <c r="R155" s="23"/>
      <c r="S155" s="23"/>
      <c r="T155" s="128" t="s">
        <v>1706</v>
      </c>
      <c r="U155" s="23"/>
      <c r="V155" s="23"/>
    </row>
    <row r="156" customFormat="false" ht="45" hidden="false" customHeight="true" outlineLevel="0" collapsed="false">
      <c r="A156" s="47" t="s">
        <v>1981</v>
      </c>
      <c r="B156" s="118" t="s">
        <v>579</v>
      </c>
      <c r="C156" s="32" t="s">
        <v>533</v>
      </c>
      <c r="D156" s="32" t="s">
        <v>1982</v>
      </c>
      <c r="E156" s="32"/>
      <c r="F156" s="32"/>
      <c r="G156" s="32"/>
      <c r="H156" s="32"/>
      <c r="I156" s="32"/>
      <c r="J156" s="32" t="n">
        <f aca="false">H156*I156</f>
        <v>0</v>
      </c>
      <c r="K156" s="32" t="str">
        <f aca="false">IF(J156="","",IF(J156&gt;=20,"CRITICAL",IF(J156&gt;=12,"HIGH",IF(J156&gt;=6,"MEDIUM","LOW"))))</f>
        <v>LOW</v>
      </c>
      <c r="L156" s="32"/>
      <c r="M156" s="32"/>
      <c r="N156" s="32" t="n">
        <f aca="false">IF(J156="","",MAX(1,J156-IFERROR(M156*2,0)))</f>
        <v>1</v>
      </c>
      <c r="O156" s="32" t="str">
        <f aca="false">IF(N156="","",IF(N156&gt;=16,"CRITICAL",IF(N156&gt;=8,"HIGH",IF(N156&gt;=4,"MEDIUM","LOW"))))</f>
        <v>LOW</v>
      </c>
      <c r="P156" s="32"/>
      <c r="Q156" s="32"/>
      <c r="R156" s="32"/>
      <c r="S156" s="32"/>
      <c r="T156" s="128" t="s">
        <v>1706</v>
      </c>
      <c r="U156" s="32"/>
      <c r="V156" s="32"/>
    </row>
    <row r="157" customFormat="false" ht="45" hidden="false" customHeight="true" outlineLevel="0" collapsed="false">
      <c r="A157" s="45" t="s">
        <v>1983</v>
      </c>
      <c r="B157" s="119" t="s">
        <v>582</v>
      </c>
      <c r="C157" s="23" t="s">
        <v>533</v>
      </c>
      <c r="D157" s="23" t="s">
        <v>583</v>
      </c>
      <c r="E157" s="23"/>
      <c r="F157" s="23"/>
      <c r="G157" s="23"/>
      <c r="H157" s="23"/>
      <c r="I157" s="23"/>
      <c r="J157" s="23" t="n">
        <f aca="false">H157*I157</f>
        <v>0</v>
      </c>
      <c r="K157" s="23" t="str">
        <f aca="false">IF(J157="","",IF(J157&gt;=20,"CRITICAL",IF(J157&gt;=12,"HIGH",IF(J157&gt;=6,"MEDIUM","LOW"))))</f>
        <v>LOW</v>
      </c>
      <c r="L157" s="23"/>
      <c r="M157" s="23"/>
      <c r="N157" s="23" t="n">
        <f aca="false">IF(J157="","",MAX(1,J157-IFERROR(M157*2,0)))</f>
        <v>1</v>
      </c>
      <c r="O157" s="23" t="str">
        <f aca="false">IF(N157="","",IF(N157&gt;=16,"CRITICAL",IF(N157&gt;=8,"HIGH",IF(N157&gt;=4,"MEDIUM","LOW"))))</f>
        <v>LOW</v>
      </c>
      <c r="P157" s="23"/>
      <c r="Q157" s="23"/>
      <c r="R157" s="23"/>
      <c r="S157" s="23"/>
      <c r="T157" s="128" t="s">
        <v>1706</v>
      </c>
      <c r="U157" s="23"/>
      <c r="V157" s="23"/>
    </row>
    <row r="158" customFormat="false" ht="45" hidden="false" customHeight="true" outlineLevel="0" collapsed="false">
      <c r="A158" s="47" t="s">
        <v>1984</v>
      </c>
      <c r="B158" s="118" t="s">
        <v>585</v>
      </c>
      <c r="C158" s="32" t="s">
        <v>533</v>
      </c>
      <c r="D158" s="32" t="s">
        <v>1985</v>
      </c>
      <c r="E158" s="32"/>
      <c r="F158" s="32"/>
      <c r="G158" s="32"/>
      <c r="H158" s="32"/>
      <c r="I158" s="32"/>
      <c r="J158" s="32" t="n">
        <f aca="false">H158*I158</f>
        <v>0</v>
      </c>
      <c r="K158" s="32" t="str">
        <f aca="false">IF(J158="","",IF(J158&gt;=20,"CRITICAL",IF(J158&gt;=12,"HIGH",IF(J158&gt;=6,"MEDIUM","LOW"))))</f>
        <v>LOW</v>
      </c>
      <c r="L158" s="32"/>
      <c r="M158" s="32"/>
      <c r="N158" s="32" t="n">
        <f aca="false">IF(J158="","",MAX(1,J158-IFERROR(M158*2,0)))</f>
        <v>1</v>
      </c>
      <c r="O158" s="32" t="str">
        <f aca="false">IF(N158="","",IF(N158&gt;=16,"CRITICAL",IF(N158&gt;=8,"HIGH",IF(N158&gt;=4,"MEDIUM","LOW"))))</f>
        <v>LOW</v>
      </c>
      <c r="P158" s="32"/>
      <c r="Q158" s="32"/>
      <c r="R158" s="32"/>
      <c r="S158" s="32"/>
      <c r="T158" s="128" t="s">
        <v>1706</v>
      </c>
      <c r="U158" s="32"/>
      <c r="V158" s="32"/>
    </row>
    <row r="159" customFormat="false" ht="45" hidden="false" customHeight="true" outlineLevel="0" collapsed="false">
      <c r="A159" s="45" t="s">
        <v>1986</v>
      </c>
      <c r="B159" s="119" t="s">
        <v>588</v>
      </c>
      <c r="C159" s="23" t="s">
        <v>533</v>
      </c>
      <c r="D159" s="23" t="s">
        <v>1987</v>
      </c>
      <c r="E159" s="23"/>
      <c r="F159" s="23"/>
      <c r="G159" s="23"/>
      <c r="H159" s="23"/>
      <c r="I159" s="23"/>
      <c r="J159" s="23" t="n">
        <f aca="false">H159*I159</f>
        <v>0</v>
      </c>
      <c r="K159" s="23" t="str">
        <f aca="false">IF(J159="","",IF(J159&gt;=20,"CRITICAL",IF(J159&gt;=12,"HIGH",IF(J159&gt;=6,"MEDIUM","LOW"))))</f>
        <v>LOW</v>
      </c>
      <c r="L159" s="23"/>
      <c r="M159" s="23"/>
      <c r="N159" s="23" t="n">
        <f aca="false">IF(J159="","",MAX(1,J159-IFERROR(M159*2,0)))</f>
        <v>1</v>
      </c>
      <c r="O159" s="23" t="str">
        <f aca="false">IF(N159="","",IF(N159&gt;=16,"CRITICAL",IF(N159&gt;=8,"HIGH",IF(N159&gt;=4,"MEDIUM","LOW"))))</f>
        <v>LOW</v>
      </c>
      <c r="P159" s="23"/>
      <c r="Q159" s="23"/>
      <c r="R159" s="23"/>
      <c r="S159" s="23"/>
      <c r="T159" s="128" t="s">
        <v>1706</v>
      </c>
      <c r="U159" s="23"/>
      <c r="V159" s="23"/>
    </row>
    <row r="160" customFormat="false" ht="45" hidden="false" customHeight="true" outlineLevel="0" collapsed="false">
      <c r="A160" s="47" t="s">
        <v>1988</v>
      </c>
      <c r="B160" s="118" t="s">
        <v>592</v>
      </c>
      <c r="C160" s="32" t="s">
        <v>533</v>
      </c>
      <c r="D160" s="32" t="s">
        <v>1989</v>
      </c>
      <c r="E160" s="32"/>
      <c r="F160" s="32"/>
      <c r="G160" s="32"/>
      <c r="H160" s="32"/>
      <c r="I160" s="32"/>
      <c r="J160" s="32" t="n">
        <f aca="false">H160*I160</f>
        <v>0</v>
      </c>
      <c r="K160" s="32" t="str">
        <f aca="false">IF(J160="","",IF(J160&gt;=20,"CRITICAL",IF(J160&gt;=12,"HIGH",IF(J160&gt;=6,"MEDIUM","LOW"))))</f>
        <v>LOW</v>
      </c>
      <c r="L160" s="32"/>
      <c r="M160" s="32"/>
      <c r="N160" s="32" t="n">
        <f aca="false">IF(J160="","",MAX(1,J160-IFERROR(M160*2,0)))</f>
        <v>1</v>
      </c>
      <c r="O160" s="32" t="str">
        <f aca="false">IF(N160="","",IF(N160&gt;=16,"CRITICAL",IF(N160&gt;=8,"HIGH",IF(N160&gt;=4,"MEDIUM","LOW"))))</f>
        <v>LOW</v>
      </c>
      <c r="P160" s="32"/>
      <c r="Q160" s="32"/>
      <c r="R160" s="32"/>
      <c r="S160" s="32"/>
      <c r="T160" s="128" t="s">
        <v>1706</v>
      </c>
      <c r="U160" s="32"/>
      <c r="V160" s="32"/>
    </row>
    <row r="161" customFormat="false" ht="45" hidden="false" customHeight="true" outlineLevel="0" collapsed="false">
      <c r="A161" s="45" t="s">
        <v>1990</v>
      </c>
      <c r="B161" s="119" t="s">
        <v>595</v>
      </c>
      <c r="C161" s="23" t="s">
        <v>533</v>
      </c>
      <c r="D161" s="23" t="s">
        <v>1991</v>
      </c>
      <c r="E161" s="23"/>
      <c r="F161" s="23"/>
      <c r="G161" s="23"/>
      <c r="H161" s="23"/>
      <c r="I161" s="23"/>
      <c r="J161" s="23" t="n">
        <f aca="false">H161*I161</f>
        <v>0</v>
      </c>
      <c r="K161" s="23" t="str">
        <f aca="false">IF(J161="","",IF(J161&gt;=20,"CRITICAL",IF(J161&gt;=12,"HIGH",IF(J161&gt;=6,"MEDIUM","LOW"))))</f>
        <v>LOW</v>
      </c>
      <c r="L161" s="23"/>
      <c r="M161" s="23"/>
      <c r="N161" s="23" t="n">
        <f aca="false">IF(J161="","",MAX(1,J161-IFERROR(M161*2,0)))</f>
        <v>1</v>
      </c>
      <c r="O161" s="23" t="str">
        <f aca="false">IF(N161="","",IF(N161&gt;=16,"CRITICAL",IF(N161&gt;=8,"HIGH",IF(N161&gt;=4,"MEDIUM","LOW"))))</f>
        <v>LOW</v>
      </c>
      <c r="P161" s="23"/>
      <c r="Q161" s="23"/>
      <c r="R161" s="23"/>
      <c r="S161" s="23"/>
      <c r="T161" s="128" t="s">
        <v>1706</v>
      </c>
      <c r="U161" s="23"/>
      <c r="V161" s="23"/>
    </row>
    <row r="162" customFormat="false" ht="45" hidden="false" customHeight="true" outlineLevel="0" collapsed="false">
      <c r="A162" s="47" t="s">
        <v>1992</v>
      </c>
      <c r="B162" s="118" t="s">
        <v>598</v>
      </c>
      <c r="C162" s="32" t="s">
        <v>533</v>
      </c>
      <c r="D162" s="32" t="s">
        <v>1993</v>
      </c>
      <c r="E162" s="32"/>
      <c r="F162" s="32"/>
      <c r="G162" s="32"/>
      <c r="H162" s="32"/>
      <c r="I162" s="32"/>
      <c r="J162" s="32" t="n">
        <f aca="false">H162*I162</f>
        <v>0</v>
      </c>
      <c r="K162" s="32" t="str">
        <f aca="false">IF(J162="","",IF(J162&gt;=20,"CRITICAL",IF(J162&gt;=12,"HIGH",IF(J162&gt;=6,"MEDIUM","LOW"))))</f>
        <v>LOW</v>
      </c>
      <c r="L162" s="32"/>
      <c r="M162" s="32"/>
      <c r="N162" s="32" t="n">
        <f aca="false">IF(J162="","",MAX(1,J162-IFERROR(M162*2,0)))</f>
        <v>1</v>
      </c>
      <c r="O162" s="32" t="str">
        <f aca="false">IF(N162="","",IF(N162&gt;=16,"CRITICAL",IF(N162&gt;=8,"HIGH",IF(N162&gt;=4,"MEDIUM","LOW"))))</f>
        <v>LOW</v>
      </c>
      <c r="P162" s="32"/>
      <c r="Q162" s="32"/>
      <c r="R162" s="32"/>
      <c r="S162" s="32"/>
      <c r="T162" s="128" t="s">
        <v>1706</v>
      </c>
      <c r="U162" s="32"/>
      <c r="V162" s="32"/>
    </row>
    <row r="163" customFormat="false" ht="45" hidden="false" customHeight="true" outlineLevel="0" collapsed="false">
      <c r="A163" s="45" t="s">
        <v>1994</v>
      </c>
      <c r="B163" s="119" t="s">
        <v>601</v>
      </c>
      <c r="C163" s="23" t="s">
        <v>533</v>
      </c>
      <c r="D163" s="23" t="s">
        <v>1995</v>
      </c>
      <c r="E163" s="23"/>
      <c r="F163" s="23"/>
      <c r="G163" s="23"/>
      <c r="H163" s="23"/>
      <c r="I163" s="23"/>
      <c r="J163" s="23" t="n">
        <f aca="false">H163*I163</f>
        <v>0</v>
      </c>
      <c r="K163" s="23" t="str">
        <f aca="false">IF(J163="","",IF(J163&gt;=20,"CRITICAL",IF(J163&gt;=12,"HIGH",IF(J163&gt;=6,"MEDIUM","LOW"))))</f>
        <v>LOW</v>
      </c>
      <c r="L163" s="23"/>
      <c r="M163" s="23"/>
      <c r="N163" s="23" t="n">
        <f aca="false">IF(J163="","",MAX(1,J163-IFERROR(M163*2,0)))</f>
        <v>1</v>
      </c>
      <c r="O163" s="23" t="str">
        <f aca="false">IF(N163="","",IF(N163&gt;=16,"CRITICAL",IF(N163&gt;=8,"HIGH",IF(N163&gt;=4,"MEDIUM","LOW"))))</f>
        <v>LOW</v>
      </c>
      <c r="P163" s="23"/>
      <c r="Q163" s="23"/>
      <c r="R163" s="23"/>
      <c r="S163" s="23"/>
      <c r="T163" s="128" t="s">
        <v>1706</v>
      </c>
      <c r="U163" s="23"/>
      <c r="V163" s="23"/>
    </row>
    <row r="164" customFormat="false" ht="45" hidden="false" customHeight="true" outlineLevel="0" collapsed="false">
      <c r="A164" s="47" t="s">
        <v>1996</v>
      </c>
      <c r="B164" s="118" t="s">
        <v>605</v>
      </c>
      <c r="C164" s="32" t="s">
        <v>533</v>
      </c>
      <c r="D164" s="32" t="s">
        <v>1997</v>
      </c>
      <c r="E164" s="32"/>
      <c r="F164" s="32"/>
      <c r="G164" s="32"/>
      <c r="H164" s="32"/>
      <c r="I164" s="32"/>
      <c r="J164" s="32" t="n">
        <f aca="false">H164*I164</f>
        <v>0</v>
      </c>
      <c r="K164" s="32" t="str">
        <f aca="false">IF(J164="","",IF(J164&gt;=20,"CRITICAL",IF(J164&gt;=12,"HIGH",IF(J164&gt;=6,"MEDIUM","LOW"))))</f>
        <v>LOW</v>
      </c>
      <c r="L164" s="32"/>
      <c r="M164" s="32"/>
      <c r="N164" s="32" t="n">
        <f aca="false">IF(J164="","",MAX(1,J164-IFERROR(M164*2,0)))</f>
        <v>1</v>
      </c>
      <c r="O164" s="32" t="str">
        <f aca="false">IF(N164="","",IF(N164&gt;=16,"CRITICAL",IF(N164&gt;=8,"HIGH",IF(N164&gt;=4,"MEDIUM","LOW"))))</f>
        <v>LOW</v>
      </c>
      <c r="P164" s="32"/>
      <c r="Q164" s="32"/>
      <c r="R164" s="32"/>
      <c r="S164" s="32"/>
      <c r="T164" s="128" t="s">
        <v>1706</v>
      </c>
      <c r="U164" s="32"/>
      <c r="V164" s="32"/>
    </row>
    <row r="165" customFormat="false" ht="45" hidden="false" customHeight="true" outlineLevel="0" collapsed="false">
      <c r="A165" s="45" t="s">
        <v>1998</v>
      </c>
      <c r="B165" s="119" t="s">
        <v>608</v>
      </c>
      <c r="C165" s="23" t="s">
        <v>533</v>
      </c>
      <c r="D165" s="23" t="s">
        <v>1999</v>
      </c>
      <c r="E165" s="23"/>
      <c r="F165" s="23"/>
      <c r="G165" s="23"/>
      <c r="H165" s="23"/>
      <c r="I165" s="23"/>
      <c r="J165" s="23" t="n">
        <f aca="false">H165*I165</f>
        <v>0</v>
      </c>
      <c r="K165" s="23" t="str">
        <f aca="false">IF(J165="","",IF(J165&gt;=20,"CRITICAL",IF(J165&gt;=12,"HIGH",IF(J165&gt;=6,"MEDIUM","LOW"))))</f>
        <v>LOW</v>
      </c>
      <c r="L165" s="23"/>
      <c r="M165" s="23"/>
      <c r="N165" s="23" t="n">
        <f aca="false">IF(J165="","",MAX(1,J165-IFERROR(M165*2,0)))</f>
        <v>1</v>
      </c>
      <c r="O165" s="23" t="str">
        <f aca="false">IF(N165="","",IF(N165&gt;=16,"CRITICAL",IF(N165&gt;=8,"HIGH",IF(N165&gt;=4,"MEDIUM","LOW"))))</f>
        <v>LOW</v>
      </c>
      <c r="P165" s="23"/>
      <c r="Q165" s="23"/>
      <c r="R165" s="23"/>
      <c r="S165" s="23"/>
      <c r="T165" s="128" t="s">
        <v>1706</v>
      </c>
      <c r="U165" s="23"/>
      <c r="V165" s="23"/>
    </row>
    <row r="166" customFormat="false" ht="45" hidden="false" customHeight="true" outlineLevel="0" collapsed="false">
      <c r="A166" s="47" t="s">
        <v>2000</v>
      </c>
      <c r="B166" s="118" t="s">
        <v>611</v>
      </c>
      <c r="C166" s="32" t="s">
        <v>533</v>
      </c>
      <c r="D166" s="32" t="s">
        <v>2001</v>
      </c>
      <c r="E166" s="32"/>
      <c r="F166" s="32"/>
      <c r="G166" s="32"/>
      <c r="H166" s="32"/>
      <c r="I166" s="32"/>
      <c r="J166" s="32" t="n">
        <f aca="false">H166*I166</f>
        <v>0</v>
      </c>
      <c r="K166" s="32" t="str">
        <f aca="false">IF(J166="","",IF(J166&gt;=20,"CRITICAL",IF(J166&gt;=12,"HIGH",IF(J166&gt;=6,"MEDIUM","LOW"))))</f>
        <v>LOW</v>
      </c>
      <c r="L166" s="32"/>
      <c r="M166" s="32"/>
      <c r="N166" s="32" t="n">
        <f aca="false">IF(J166="","",MAX(1,J166-IFERROR(M166*2,0)))</f>
        <v>1</v>
      </c>
      <c r="O166" s="32" t="str">
        <f aca="false">IF(N166="","",IF(N166&gt;=16,"CRITICAL",IF(N166&gt;=8,"HIGH",IF(N166&gt;=4,"MEDIUM","LOW"))))</f>
        <v>LOW</v>
      </c>
      <c r="P166" s="32"/>
      <c r="Q166" s="32"/>
      <c r="R166" s="32"/>
      <c r="S166" s="32"/>
      <c r="T166" s="128" t="s">
        <v>1706</v>
      </c>
      <c r="U166" s="32"/>
      <c r="V166" s="32"/>
    </row>
    <row r="167" customFormat="false" ht="45" hidden="false" customHeight="true" outlineLevel="0" collapsed="false">
      <c r="A167" s="45" t="s">
        <v>2002</v>
      </c>
      <c r="B167" s="119" t="s">
        <v>614</v>
      </c>
      <c r="C167" s="23" t="s">
        <v>533</v>
      </c>
      <c r="D167" s="23" t="s">
        <v>2003</v>
      </c>
      <c r="E167" s="23"/>
      <c r="F167" s="23"/>
      <c r="G167" s="23"/>
      <c r="H167" s="23"/>
      <c r="I167" s="23"/>
      <c r="J167" s="23" t="n">
        <f aca="false">H167*I167</f>
        <v>0</v>
      </c>
      <c r="K167" s="23" t="str">
        <f aca="false">IF(J167="","",IF(J167&gt;=20,"CRITICAL",IF(J167&gt;=12,"HIGH",IF(J167&gt;=6,"MEDIUM","LOW"))))</f>
        <v>LOW</v>
      </c>
      <c r="L167" s="23"/>
      <c r="M167" s="23"/>
      <c r="N167" s="23" t="n">
        <f aca="false">IF(J167="","",MAX(1,J167-IFERROR(M167*2,0)))</f>
        <v>1</v>
      </c>
      <c r="O167" s="23" t="str">
        <f aca="false">IF(N167="","",IF(N167&gt;=16,"CRITICAL",IF(N167&gt;=8,"HIGH",IF(N167&gt;=4,"MEDIUM","LOW"))))</f>
        <v>LOW</v>
      </c>
      <c r="P167" s="23"/>
      <c r="Q167" s="23"/>
      <c r="R167" s="23"/>
      <c r="S167" s="23"/>
      <c r="T167" s="128" t="s">
        <v>1706</v>
      </c>
      <c r="U167" s="23"/>
      <c r="V167" s="23"/>
    </row>
    <row r="168" customFormat="false" ht="45" hidden="false" customHeight="true" outlineLevel="0" collapsed="false">
      <c r="A168" s="47" t="s">
        <v>2004</v>
      </c>
      <c r="B168" s="118" t="s">
        <v>617</v>
      </c>
      <c r="C168" s="32" t="s">
        <v>533</v>
      </c>
      <c r="D168" s="32" t="s">
        <v>2005</v>
      </c>
      <c r="E168" s="32"/>
      <c r="F168" s="32"/>
      <c r="G168" s="32"/>
      <c r="H168" s="32"/>
      <c r="I168" s="32"/>
      <c r="J168" s="32" t="n">
        <f aca="false">H168*I168</f>
        <v>0</v>
      </c>
      <c r="K168" s="32" t="str">
        <f aca="false">IF(J168="","",IF(J168&gt;=20,"CRITICAL",IF(J168&gt;=12,"HIGH",IF(J168&gt;=6,"MEDIUM","LOW"))))</f>
        <v>LOW</v>
      </c>
      <c r="L168" s="32"/>
      <c r="M168" s="32"/>
      <c r="N168" s="32" t="n">
        <f aca="false">IF(J168="","",MAX(1,J168-IFERROR(M168*2,0)))</f>
        <v>1</v>
      </c>
      <c r="O168" s="32" t="str">
        <f aca="false">IF(N168="","",IF(N168&gt;=16,"CRITICAL",IF(N168&gt;=8,"HIGH",IF(N168&gt;=4,"MEDIUM","LOW"))))</f>
        <v>LOW</v>
      </c>
      <c r="P168" s="32"/>
      <c r="Q168" s="32"/>
      <c r="R168" s="32"/>
      <c r="S168" s="32"/>
      <c r="T168" s="128" t="s">
        <v>1706</v>
      </c>
      <c r="U168" s="32"/>
      <c r="V168" s="32"/>
    </row>
    <row r="169" customFormat="false" ht="45" hidden="false" customHeight="true" outlineLevel="0" collapsed="false">
      <c r="A169" s="45" t="s">
        <v>2006</v>
      </c>
      <c r="B169" s="119" t="s">
        <v>620</v>
      </c>
      <c r="C169" s="23" t="s">
        <v>533</v>
      </c>
      <c r="D169" s="23" t="s">
        <v>2007</v>
      </c>
      <c r="E169" s="23"/>
      <c r="F169" s="23"/>
      <c r="G169" s="23"/>
      <c r="H169" s="23"/>
      <c r="I169" s="23"/>
      <c r="J169" s="23" t="n">
        <f aca="false">H169*I169</f>
        <v>0</v>
      </c>
      <c r="K169" s="23" t="str">
        <f aca="false">IF(J169="","",IF(J169&gt;=20,"CRITICAL",IF(J169&gt;=12,"HIGH",IF(J169&gt;=6,"MEDIUM","LOW"))))</f>
        <v>LOW</v>
      </c>
      <c r="L169" s="23"/>
      <c r="M169" s="23"/>
      <c r="N169" s="23" t="n">
        <f aca="false">IF(J169="","",MAX(1,J169-IFERROR(M169*2,0)))</f>
        <v>1</v>
      </c>
      <c r="O169" s="23" t="str">
        <f aca="false">IF(N169="","",IF(N169&gt;=16,"CRITICAL",IF(N169&gt;=8,"HIGH",IF(N169&gt;=4,"MEDIUM","LOW"))))</f>
        <v>LOW</v>
      </c>
      <c r="P169" s="23"/>
      <c r="Q169" s="23"/>
      <c r="R169" s="23"/>
      <c r="S169" s="23"/>
      <c r="T169" s="128" t="s">
        <v>1706</v>
      </c>
      <c r="U169" s="23"/>
      <c r="V169" s="23"/>
    </row>
    <row r="170" customFormat="false" ht="45" hidden="false" customHeight="true" outlineLevel="0" collapsed="false">
      <c r="A170" s="47" t="s">
        <v>2008</v>
      </c>
      <c r="B170" s="118" t="s">
        <v>623</v>
      </c>
      <c r="C170" s="32" t="s">
        <v>533</v>
      </c>
      <c r="D170" s="32" t="s">
        <v>2009</v>
      </c>
      <c r="E170" s="32"/>
      <c r="F170" s="32"/>
      <c r="G170" s="32"/>
      <c r="H170" s="32"/>
      <c r="I170" s="32"/>
      <c r="J170" s="32" t="n">
        <f aca="false">H170*I170</f>
        <v>0</v>
      </c>
      <c r="K170" s="32" t="str">
        <f aca="false">IF(J170="","",IF(J170&gt;=20,"CRITICAL",IF(J170&gt;=12,"HIGH",IF(J170&gt;=6,"MEDIUM","LOW"))))</f>
        <v>LOW</v>
      </c>
      <c r="L170" s="32"/>
      <c r="M170" s="32"/>
      <c r="N170" s="32" t="n">
        <f aca="false">IF(J170="","",MAX(1,J170-IFERROR(M170*2,0)))</f>
        <v>1</v>
      </c>
      <c r="O170" s="32" t="str">
        <f aca="false">IF(N170="","",IF(N170&gt;=16,"CRITICAL",IF(N170&gt;=8,"HIGH",IF(N170&gt;=4,"MEDIUM","LOW"))))</f>
        <v>LOW</v>
      </c>
      <c r="P170" s="32"/>
      <c r="Q170" s="32"/>
      <c r="R170" s="32"/>
      <c r="S170" s="32"/>
      <c r="T170" s="128" t="s">
        <v>1706</v>
      </c>
      <c r="U170" s="32"/>
      <c r="V170" s="32"/>
    </row>
    <row r="171" customFormat="false" ht="45" hidden="false" customHeight="true" outlineLevel="0" collapsed="false">
      <c r="A171" s="45" t="s">
        <v>2010</v>
      </c>
      <c r="B171" s="119" t="s">
        <v>626</v>
      </c>
      <c r="C171" s="23" t="s">
        <v>533</v>
      </c>
      <c r="D171" s="23" t="s">
        <v>2011</v>
      </c>
      <c r="E171" s="23"/>
      <c r="F171" s="23"/>
      <c r="G171" s="23"/>
      <c r="H171" s="23"/>
      <c r="I171" s="23"/>
      <c r="J171" s="23" t="n">
        <f aca="false">H171*I171</f>
        <v>0</v>
      </c>
      <c r="K171" s="23" t="str">
        <f aca="false">IF(J171="","",IF(J171&gt;=20,"CRITICAL",IF(J171&gt;=12,"HIGH",IF(J171&gt;=6,"MEDIUM","LOW"))))</f>
        <v>LOW</v>
      </c>
      <c r="L171" s="23"/>
      <c r="M171" s="23"/>
      <c r="N171" s="23" t="n">
        <f aca="false">IF(J171="","",MAX(1,J171-IFERROR(M171*2,0)))</f>
        <v>1</v>
      </c>
      <c r="O171" s="23" t="str">
        <f aca="false">IF(N171="","",IF(N171&gt;=16,"CRITICAL",IF(N171&gt;=8,"HIGH",IF(N171&gt;=4,"MEDIUM","LOW"))))</f>
        <v>LOW</v>
      </c>
      <c r="P171" s="23"/>
      <c r="Q171" s="23"/>
      <c r="R171" s="23"/>
      <c r="S171" s="23"/>
      <c r="T171" s="128" t="s">
        <v>1706</v>
      </c>
      <c r="U171" s="23"/>
      <c r="V171" s="23"/>
    </row>
    <row r="172" customFormat="false" ht="45" hidden="false" customHeight="true" outlineLevel="0" collapsed="false">
      <c r="A172" s="47" t="s">
        <v>2012</v>
      </c>
      <c r="B172" s="118" t="s">
        <v>629</v>
      </c>
      <c r="C172" s="32" t="s">
        <v>533</v>
      </c>
      <c r="D172" s="32" t="s">
        <v>2013</v>
      </c>
      <c r="E172" s="32"/>
      <c r="F172" s="32"/>
      <c r="G172" s="32"/>
      <c r="H172" s="32"/>
      <c r="I172" s="32"/>
      <c r="J172" s="32" t="n">
        <f aca="false">H172*I172</f>
        <v>0</v>
      </c>
      <c r="K172" s="32" t="str">
        <f aca="false">IF(J172="","",IF(J172&gt;=20,"CRITICAL",IF(J172&gt;=12,"HIGH",IF(J172&gt;=6,"MEDIUM","LOW"))))</f>
        <v>LOW</v>
      </c>
      <c r="L172" s="32"/>
      <c r="M172" s="32"/>
      <c r="N172" s="32" t="n">
        <f aca="false">IF(J172="","",MAX(1,J172-IFERROR(M172*2,0)))</f>
        <v>1</v>
      </c>
      <c r="O172" s="32" t="str">
        <f aca="false">IF(N172="","",IF(N172&gt;=16,"CRITICAL",IF(N172&gt;=8,"HIGH",IF(N172&gt;=4,"MEDIUM","LOW"))))</f>
        <v>LOW</v>
      </c>
      <c r="P172" s="32"/>
      <c r="Q172" s="32"/>
      <c r="R172" s="32"/>
      <c r="S172" s="32"/>
      <c r="T172" s="128" t="s">
        <v>1706</v>
      </c>
      <c r="U172" s="32"/>
      <c r="V172" s="32"/>
    </row>
    <row r="173" customFormat="false" ht="45" hidden="false" customHeight="true" outlineLevel="0" collapsed="false">
      <c r="A173" s="45" t="s">
        <v>2014</v>
      </c>
      <c r="B173" s="119" t="s">
        <v>632</v>
      </c>
      <c r="C173" s="23" t="s">
        <v>533</v>
      </c>
      <c r="D173" s="23" t="s">
        <v>2015</v>
      </c>
      <c r="E173" s="23"/>
      <c r="F173" s="23"/>
      <c r="G173" s="23"/>
      <c r="H173" s="23"/>
      <c r="I173" s="23"/>
      <c r="J173" s="23" t="n">
        <f aca="false">H173*I173</f>
        <v>0</v>
      </c>
      <c r="K173" s="23" t="str">
        <f aca="false">IF(J173="","",IF(J173&gt;=20,"CRITICAL",IF(J173&gt;=12,"HIGH",IF(J173&gt;=6,"MEDIUM","LOW"))))</f>
        <v>LOW</v>
      </c>
      <c r="L173" s="23"/>
      <c r="M173" s="23"/>
      <c r="N173" s="23" t="n">
        <f aca="false">IF(J173="","",MAX(1,J173-IFERROR(M173*2,0)))</f>
        <v>1</v>
      </c>
      <c r="O173" s="23" t="str">
        <f aca="false">IF(N173="","",IF(N173&gt;=16,"CRITICAL",IF(N173&gt;=8,"HIGH",IF(N173&gt;=4,"MEDIUM","LOW"))))</f>
        <v>LOW</v>
      </c>
      <c r="P173" s="23"/>
      <c r="Q173" s="23"/>
      <c r="R173" s="23"/>
      <c r="S173" s="23"/>
      <c r="T173" s="128" t="s">
        <v>1706</v>
      </c>
      <c r="U173" s="23"/>
      <c r="V173" s="23"/>
    </row>
    <row r="174" customFormat="false" ht="45" hidden="false" customHeight="true" outlineLevel="0" collapsed="false">
      <c r="A174" s="47" t="s">
        <v>2016</v>
      </c>
      <c r="B174" s="118" t="s">
        <v>635</v>
      </c>
      <c r="C174" s="32" t="s">
        <v>533</v>
      </c>
      <c r="D174" s="32" t="s">
        <v>2017</v>
      </c>
      <c r="E174" s="32"/>
      <c r="F174" s="32"/>
      <c r="G174" s="32"/>
      <c r="H174" s="32"/>
      <c r="I174" s="32"/>
      <c r="J174" s="32" t="n">
        <f aca="false">H174*I174</f>
        <v>0</v>
      </c>
      <c r="K174" s="32" t="str">
        <f aca="false">IF(J174="","",IF(J174&gt;=20,"CRITICAL",IF(J174&gt;=12,"HIGH",IF(J174&gt;=6,"MEDIUM","LOW"))))</f>
        <v>LOW</v>
      </c>
      <c r="L174" s="32"/>
      <c r="M174" s="32"/>
      <c r="N174" s="32" t="n">
        <f aca="false">IF(J174="","",MAX(1,J174-IFERROR(M174*2,0)))</f>
        <v>1</v>
      </c>
      <c r="O174" s="32" t="str">
        <f aca="false">IF(N174="","",IF(N174&gt;=16,"CRITICAL",IF(N174&gt;=8,"HIGH",IF(N174&gt;=4,"MEDIUM","LOW"))))</f>
        <v>LOW</v>
      </c>
      <c r="P174" s="32"/>
      <c r="Q174" s="32"/>
      <c r="R174" s="32"/>
      <c r="S174" s="32"/>
      <c r="T174" s="128" t="s">
        <v>1706</v>
      </c>
      <c r="U174" s="32"/>
      <c r="V174" s="32"/>
    </row>
    <row r="175" customFormat="false" ht="45" hidden="false" customHeight="true" outlineLevel="0" collapsed="false">
      <c r="A175" s="45" t="s">
        <v>2018</v>
      </c>
      <c r="B175" s="119" t="s">
        <v>638</v>
      </c>
      <c r="C175" s="23" t="s">
        <v>533</v>
      </c>
      <c r="D175" s="23" t="s">
        <v>2019</v>
      </c>
      <c r="E175" s="23"/>
      <c r="F175" s="23"/>
      <c r="G175" s="23"/>
      <c r="H175" s="23"/>
      <c r="I175" s="23"/>
      <c r="J175" s="23" t="n">
        <f aca="false">H175*I175</f>
        <v>0</v>
      </c>
      <c r="K175" s="23" t="str">
        <f aca="false">IF(J175="","",IF(J175&gt;=20,"CRITICAL",IF(J175&gt;=12,"HIGH",IF(J175&gt;=6,"MEDIUM","LOW"))))</f>
        <v>LOW</v>
      </c>
      <c r="L175" s="23"/>
      <c r="M175" s="23"/>
      <c r="N175" s="23" t="n">
        <f aca="false">IF(J175="","",MAX(1,J175-IFERROR(M175*2,0)))</f>
        <v>1</v>
      </c>
      <c r="O175" s="23" t="str">
        <f aca="false">IF(N175="","",IF(N175&gt;=16,"CRITICAL",IF(N175&gt;=8,"HIGH",IF(N175&gt;=4,"MEDIUM","LOW"))))</f>
        <v>LOW</v>
      </c>
      <c r="P175" s="23"/>
      <c r="Q175" s="23"/>
      <c r="R175" s="23"/>
      <c r="S175" s="23"/>
      <c r="T175" s="128" t="s">
        <v>1706</v>
      </c>
      <c r="U175" s="23"/>
      <c r="V175" s="23"/>
    </row>
    <row r="176" customFormat="false" ht="45" hidden="false" customHeight="true" outlineLevel="0" collapsed="false">
      <c r="A176" s="47" t="s">
        <v>2020</v>
      </c>
      <c r="B176" s="118" t="s">
        <v>641</v>
      </c>
      <c r="C176" s="32" t="s">
        <v>533</v>
      </c>
      <c r="D176" s="32" t="s">
        <v>2021</v>
      </c>
      <c r="E176" s="32"/>
      <c r="F176" s="32"/>
      <c r="G176" s="32"/>
      <c r="H176" s="32"/>
      <c r="I176" s="32"/>
      <c r="J176" s="32" t="n">
        <f aca="false">H176*I176</f>
        <v>0</v>
      </c>
      <c r="K176" s="32" t="str">
        <f aca="false">IF(J176="","",IF(J176&gt;=20,"CRITICAL",IF(J176&gt;=12,"HIGH",IF(J176&gt;=6,"MEDIUM","LOW"))))</f>
        <v>LOW</v>
      </c>
      <c r="L176" s="32"/>
      <c r="M176" s="32"/>
      <c r="N176" s="32" t="n">
        <f aca="false">IF(J176="","",MAX(1,J176-IFERROR(M176*2,0)))</f>
        <v>1</v>
      </c>
      <c r="O176" s="32" t="str">
        <f aca="false">IF(N176="","",IF(N176&gt;=16,"CRITICAL",IF(N176&gt;=8,"HIGH",IF(N176&gt;=4,"MEDIUM","LOW"))))</f>
        <v>LOW</v>
      </c>
      <c r="P176" s="32"/>
      <c r="Q176" s="32"/>
      <c r="R176" s="32"/>
      <c r="S176" s="32"/>
      <c r="T176" s="128" t="s">
        <v>1706</v>
      </c>
      <c r="U176" s="32"/>
      <c r="V176" s="32"/>
    </row>
    <row r="177" customFormat="false" ht="45" hidden="false" customHeight="true" outlineLevel="0" collapsed="false">
      <c r="A177" s="45" t="s">
        <v>2022</v>
      </c>
      <c r="B177" s="120" t="s">
        <v>645</v>
      </c>
      <c r="C177" s="23" t="s">
        <v>644</v>
      </c>
      <c r="D177" s="23" t="s">
        <v>2023</v>
      </c>
      <c r="E177" s="23"/>
      <c r="F177" s="23"/>
      <c r="G177" s="23"/>
      <c r="H177" s="23"/>
      <c r="I177" s="23"/>
      <c r="J177" s="23" t="n">
        <f aca="false">H177*I177</f>
        <v>0</v>
      </c>
      <c r="K177" s="23" t="str">
        <f aca="false">IF(J177="","",IF(J177&gt;=20,"CRITICAL",IF(J177&gt;=12,"HIGH",IF(J177&gt;=6,"MEDIUM","LOW"))))</f>
        <v>LOW</v>
      </c>
      <c r="L177" s="23"/>
      <c r="M177" s="23"/>
      <c r="N177" s="23" t="n">
        <f aca="false">IF(J177="","",MAX(1,J177-IFERROR(M177*2,0)))</f>
        <v>1</v>
      </c>
      <c r="O177" s="23" t="str">
        <f aca="false">IF(N177="","",IF(N177&gt;=16,"CRITICAL",IF(N177&gt;=8,"HIGH",IF(N177&gt;=4,"MEDIUM","LOW"))))</f>
        <v>LOW</v>
      </c>
      <c r="P177" s="23"/>
      <c r="Q177" s="23"/>
      <c r="R177" s="23"/>
      <c r="S177" s="23"/>
      <c r="T177" s="128" t="s">
        <v>1706</v>
      </c>
      <c r="U177" s="23"/>
      <c r="V177" s="23"/>
    </row>
    <row r="178" customFormat="false" ht="45" hidden="false" customHeight="true" outlineLevel="0" collapsed="false">
      <c r="A178" s="47" t="s">
        <v>2024</v>
      </c>
      <c r="B178" s="121" t="s">
        <v>649</v>
      </c>
      <c r="C178" s="32" t="s">
        <v>644</v>
      </c>
      <c r="D178" s="32" t="s">
        <v>1843</v>
      </c>
      <c r="E178" s="32"/>
      <c r="F178" s="32"/>
      <c r="G178" s="32"/>
      <c r="H178" s="32"/>
      <c r="I178" s="32"/>
      <c r="J178" s="32" t="n">
        <f aca="false">H178*I178</f>
        <v>0</v>
      </c>
      <c r="K178" s="32" t="str">
        <f aca="false">IF(J178="","",IF(J178&gt;=20,"CRITICAL",IF(J178&gt;=12,"HIGH",IF(J178&gt;=6,"MEDIUM","LOW"))))</f>
        <v>LOW</v>
      </c>
      <c r="L178" s="32"/>
      <c r="M178" s="32"/>
      <c r="N178" s="32" t="n">
        <f aca="false">IF(J178="","",MAX(1,J178-IFERROR(M178*2,0)))</f>
        <v>1</v>
      </c>
      <c r="O178" s="32" t="str">
        <f aca="false">IF(N178="","",IF(N178&gt;=16,"CRITICAL",IF(N178&gt;=8,"HIGH",IF(N178&gt;=4,"MEDIUM","LOW"))))</f>
        <v>LOW</v>
      </c>
      <c r="P178" s="32"/>
      <c r="Q178" s="32"/>
      <c r="R178" s="32"/>
      <c r="S178" s="32"/>
      <c r="T178" s="128" t="s">
        <v>1706</v>
      </c>
      <c r="U178" s="32"/>
      <c r="V178" s="32"/>
    </row>
    <row r="179" customFormat="false" ht="45" hidden="false" customHeight="true" outlineLevel="0" collapsed="false">
      <c r="A179" s="45" t="s">
        <v>2025</v>
      </c>
      <c r="B179" s="120" t="s">
        <v>652</v>
      </c>
      <c r="C179" s="23" t="s">
        <v>644</v>
      </c>
      <c r="D179" s="23" t="s">
        <v>2026</v>
      </c>
      <c r="E179" s="23"/>
      <c r="F179" s="23"/>
      <c r="G179" s="23"/>
      <c r="H179" s="23"/>
      <c r="I179" s="23"/>
      <c r="J179" s="23" t="n">
        <f aca="false">H179*I179</f>
        <v>0</v>
      </c>
      <c r="K179" s="23" t="str">
        <f aca="false">IF(J179="","",IF(J179&gt;=20,"CRITICAL",IF(J179&gt;=12,"HIGH",IF(J179&gt;=6,"MEDIUM","LOW"))))</f>
        <v>LOW</v>
      </c>
      <c r="L179" s="23"/>
      <c r="M179" s="23"/>
      <c r="N179" s="23" t="n">
        <f aca="false">IF(J179="","",MAX(1,J179-IFERROR(M179*2,0)))</f>
        <v>1</v>
      </c>
      <c r="O179" s="23" t="str">
        <f aca="false">IF(N179="","",IF(N179&gt;=16,"CRITICAL",IF(N179&gt;=8,"HIGH",IF(N179&gt;=4,"MEDIUM","LOW"))))</f>
        <v>LOW</v>
      </c>
      <c r="P179" s="23"/>
      <c r="Q179" s="23"/>
      <c r="R179" s="23"/>
      <c r="S179" s="23"/>
      <c r="T179" s="128" t="s">
        <v>1706</v>
      </c>
      <c r="U179" s="23"/>
      <c r="V179" s="23"/>
    </row>
    <row r="180" customFormat="false" ht="45" hidden="false" customHeight="true" outlineLevel="0" collapsed="false">
      <c r="A180" s="47" t="s">
        <v>2027</v>
      </c>
      <c r="B180" s="121" t="s">
        <v>655</v>
      </c>
      <c r="C180" s="32" t="s">
        <v>644</v>
      </c>
      <c r="D180" s="32" t="s">
        <v>2028</v>
      </c>
      <c r="E180" s="32"/>
      <c r="F180" s="32"/>
      <c r="G180" s="32"/>
      <c r="H180" s="32"/>
      <c r="I180" s="32"/>
      <c r="J180" s="32" t="n">
        <f aca="false">H180*I180</f>
        <v>0</v>
      </c>
      <c r="K180" s="32" t="str">
        <f aca="false">IF(J180="","",IF(J180&gt;=20,"CRITICAL",IF(J180&gt;=12,"HIGH",IF(J180&gt;=6,"MEDIUM","LOW"))))</f>
        <v>LOW</v>
      </c>
      <c r="L180" s="32"/>
      <c r="M180" s="32"/>
      <c r="N180" s="32" t="n">
        <f aca="false">IF(J180="","",MAX(1,J180-IFERROR(M180*2,0)))</f>
        <v>1</v>
      </c>
      <c r="O180" s="32" t="str">
        <f aca="false">IF(N180="","",IF(N180&gt;=16,"CRITICAL",IF(N180&gt;=8,"HIGH",IF(N180&gt;=4,"MEDIUM","LOW"))))</f>
        <v>LOW</v>
      </c>
      <c r="P180" s="32"/>
      <c r="Q180" s="32"/>
      <c r="R180" s="32"/>
      <c r="S180" s="32"/>
      <c r="T180" s="128" t="s">
        <v>1706</v>
      </c>
      <c r="U180" s="32"/>
      <c r="V180" s="32"/>
    </row>
    <row r="181" customFormat="false" ht="45" hidden="false" customHeight="true" outlineLevel="0" collapsed="false">
      <c r="A181" s="45" t="s">
        <v>2029</v>
      </c>
      <c r="B181" s="120" t="s">
        <v>658</v>
      </c>
      <c r="C181" s="23" t="s">
        <v>644</v>
      </c>
      <c r="D181" s="23" t="s">
        <v>2030</v>
      </c>
      <c r="E181" s="23"/>
      <c r="F181" s="23"/>
      <c r="G181" s="23"/>
      <c r="H181" s="23"/>
      <c r="I181" s="23"/>
      <c r="J181" s="23" t="n">
        <f aca="false">H181*I181</f>
        <v>0</v>
      </c>
      <c r="K181" s="23" t="str">
        <f aca="false">IF(J181="","",IF(J181&gt;=20,"CRITICAL",IF(J181&gt;=12,"HIGH",IF(J181&gt;=6,"MEDIUM","LOW"))))</f>
        <v>LOW</v>
      </c>
      <c r="L181" s="23"/>
      <c r="M181" s="23"/>
      <c r="N181" s="23" t="n">
        <f aca="false">IF(J181="","",MAX(1,J181-IFERROR(M181*2,0)))</f>
        <v>1</v>
      </c>
      <c r="O181" s="23" t="str">
        <f aca="false">IF(N181="","",IF(N181&gt;=16,"CRITICAL",IF(N181&gt;=8,"HIGH",IF(N181&gt;=4,"MEDIUM","LOW"))))</f>
        <v>LOW</v>
      </c>
      <c r="P181" s="23"/>
      <c r="Q181" s="23"/>
      <c r="R181" s="23"/>
      <c r="S181" s="23"/>
      <c r="T181" s="128" t="s">
        <v>1706</v>
      </c>
      <c r="U181" s="23"/>
      <c r="V181" s="23"/>
    </row>
    <row r="182" customFormat="false" ht="45" hidden="false" customHeight="true" outlineLevel="0" collapsed="false">
      <c r="A182" s="47" t="s">
        <v>2031</v>
      </c>
      <c r="B182" s="121" t="s">
        <v>661</v>
      </c>
      <c r="C182" s="32" t="s">
        <v>644</v>
      </c>
      <c r="D182" s="32" t="s">
        <v>2032</v>
      </c>
      <c r="E182" s="32"/>
      <c r="F182" s="32"/>
      <c r="G182" s="32"/>
      <c r="H182" s="32"/>
      <c r="I182" s="32"/>
      <c r="J182" s="32" t="n">
        <f aca="false">H182*I182</f>
        <v>0</v>
      </c>
      <c r="K182" s="32" t="str">
        <f aca="false">IF(J182="","",IF(J182&gt;=20,"CRITICAL",IF(J182&gt;=12,"HIGH",IF(J182&gt;=6,"MEDIUM","LOW"))))</f>
        <v>LOW</v>
      </c>
      <c r="L182" s="32"/>
      <c r="M182" s="32"/>
      <c r="N182" s="32" t="n">
        <f aca="false">IF(J182="","",MAX(1,J182-IFERROR(M182*2,0)))</f>
        <v>1</v>
      </c>
      <c r="O182" s="32" t="str">
        <f aca="false">IF(N182="","",IF(N182&gt;=16,"CRITICAL",IF(N182&gt;=8,"HIGH",IF(N182&gt;=4,"MEDIUM","LOW"))))</f>
        <v>LOW</v>
      </c>
      <c r="P182" s="32"/>
      <c r="Q182" s="32"/>
      <c r="R182" s="32"/>
      <c r="S182" s="32"/>
      <c r="T182" s="128" t="s">
        <v>1706</v>
      </c>
      <c r="U182" s="32"/>
      <c r="V182" s="32"/>
    </row>
    <row r="183" customFormat="false" ht="45" hidden="false" customHeight="true" outlineLevel="0" collapsed="false">
      <c r="A183" s="45" t="s">
        <v>2033</v>
      </c>
      <c r="B183" s="120" t="s">
        <v>664</v>
      </c>
      <c r="C183" s="23" t="s">
        <v>644</v>
      </c>
      <c r="D183" s="23" t="s">
        <v>2034</v>
      </c>
      <c r="E183" s="23"/>
      <c r="F183" s="23"/>
      <c r="G183" s="23"/>
      <c r="H183" s="23"/>
      <c r="I183" s="23"/>
      <c r="J183" s="23" t="n">
        <f aca="false">H183*I183</f>
        <v>0</v>
      </c>
      <c r="K183" s="23" t="str">
        <f aca="false">IF(J183="","",IF(J183&gt;=20,"CRITICAL",IF(J183&gt;=12,"HIGH",IF(J183&gt;=6,"MEDIUM","LOW"))))</f>
        <v>LOW</v>
      </c>
      <c r="L183" s="23"/>
      <c r="M183" s="23"/>
      <c r="N183" s="23" t="n">
        <f aca="false">IF(J183="","",MAX(1,J183-IFERROR(M183*2,0)))</f>
        <v>1</v>
      </c>
      <c r="O183" s="23" t="str">
        <f aca="false">IF(N183="","",IF(N183&gt;=16,"CRITICAL",IF(N183&gt;=8,"HIGH",IF(N183&gt;=4,"MEDIUM","LOW"))))</f>
        <v>LOW</v>
      </c>
      <c r="P183" s="23"/>
      <c r="Q183" s="23"/>
      <c r="R183" s="23"/>
      <c r="S183" s="23"/>
      <c r="T183" s="128" t="s">
        <v>1706</v>
      </c>
      <c r="U183" s="23"/>
      <c r="V183" s="23"/>
    </row>
    <row r="184" customFormat="false" ht="45" hidden="false" customHeight="true" outlineLevel="0" collapsed="false">
      <c r="A184" s="47" t="s">
        <v>2035</v>
      </c>
      <c r="B184" s="121" t="s">
        <v>667</v>
      </c>
      <c r="C184" s="32" t="s">
        <v>644</v>
      </c>
      <c r="D184" s="32" t="s">
        <v>2036</v>
      </c>
      <c r="E184" s="32"/>
      <c r="F184" s="32"/>
      <c r="G184" s="32"/>
      <c r="H184" s="32"/>
      <c r="I184" s="32"/>
      <c r="J184" s="32" t="n">
        <f aca="false">H184*I184</f>
        <v>0</v>
      </c>
      <c r="K184" s="32" t="str">
        <f aca="false">IF(J184="","",IF(J184&gt;=20,"CRITICAL",IF(J184&gt;=12,"HIGH",IF(J184&gt;=6,"MEDIUM","LOW"))))</f>
        <v>LOW</v>
      </c>
      <c r="L184" s="32"/>
      <c r="M184" s="32"/>
      <c r="N184" s="32" t="n">
        <f aca="false">IF(J184="","",MAX(1,J184-IFERROR(M184*2,0)))</f>
        <v>1</v>
      </c>
      <c r="O184" s="32" t="str">
        <f aca="false">IF(N184="","",IF(N184&gt;=16,"CRITICAL",IF(N184&gt;=8,"HIGH",IF(N184&gt;=4,"MEDIUM","LOW"))))</f>
        <v>LOW</v>
      </c>
      <c r="P184" s="32"/>
      <c r="Q184" s="32"/>
      <c r="R184" s="32"/>
      <c r="S184" s="32"/>
      <c r="T184" s="128" t="s">
        <v>1706</v>
      </c>
      <c r="U184" s="32"/>
      <c r="V184" s="32"/>
    </row>
    <row r="185" customFormat="false" ht="45" hidden="false" customHeight="true" outlineLevel="0" collapsed="false">
      <c r="A185" s="45" t="s">
        <v>2037</v>
      </c>
      <c r="B185" s="120" t="s">
        <v>670</v>
      </c>
      <c r="C185" s="23" t="s">
        <v>644</v>
      </c>
      <c r="D185" s="23" t="s">
        <v>2038</v>
      </c>
      <c r="E185" s="23"/>
      <c r="F185" s="23"/>
      <c r="G185" s="23"/>
      <c r="H185" s="23"/>
      <c r="I185" s="23"/>
      <c r="J185" s="23" t="n">
        <f aca="false">H185*I185</f>
        <v>0</v>
      </c>
      <c r="K185" s="23" t="str">
        <f aca="false">IF(J185="","",IF(J185&gt;=20,"CRITICAL",IF(J185&gt;=12,"HIGH",IF(J185&gt;=6,"MEDIUM","LOW"))))</f>
        <v>LOW</v>
      </c>
      <c r="L185" s="23"/>
      <c r="M185" s="23"/>
      <c r="N185" s="23" t="n">
        <f aca="false">IF(J185="","",MAX(1,J185-IFERROR(M185*2,0)))</f>
        <v>1</v>
      </c>
      <c r="O185" s="23" t="str">
        <f aca="false">IF(N185="","",IF(N185&gt;=16,"CRITICAL",IF(N185&gt;=8,"HIGH",IF(N185&gt;=4,"MEDIUM","LOW"))))</f>
        <v>LOW</v>
      </c>
      <c r="P185" s="23"/>
      <c r="Q185" s="23"/>
      <c r="R185" s="23"/>
      <c r="S185" s="23"/>
      <c r="T185" s="128" t="s">
        <v>1706</v>
      </c>
      <c r="U185" s="23"/>
      <c r="V185" s="23"/>
    </row>
    <row r="186" customFormat="false" ht="45" hidden="false" customHeight="true" outlineLevel="0" collapsed="false">
      <c r="A186" s="47" t="s">
        <v>2039</v>
      </c>
      <c r="B186" s="121" t="s">
        <v>673</v>
      </c>
      <c r="C186" s="32" t="s">
        <v>644</v>
      </c>
      <c r="D186" s="32" t="s">
        <v>2040</v>
      </c>
      <c r="E186" s="32"/>
      <c r="F186" s="32"/>
      <c r="G186" s="32"/>
      <c r="H186" s="32"/>
      <c r="I186" s="32"/>
      <c r="J186" s="32" t="n">
        <f aca="false">H186*I186</f>
        <v>0</v>
      </c>
      <c r="K186" s="32" t="str">
        <f aca="false">IF(J186="","",IF(J186&gt;=20,"CRITICAL",IF(J186&gt;=12,"HIGH",IF(J186&gt;=6,"MEDIUM","LOW"))))</f>
        <v>LOW</v>
      </c>
      <c r="L186" s="32"/>
      <c r="M186" s="32"/>
      <c r="N186" s="32" t="n">
        <f aca="false">IF(J186="","",MAX(1,J186-IFERROR(M186*2,0)))</f>
        <v>1</v>
      </c>
      <c r="O186" s="32" t="str">
        <f aca="false">IF(N186="","",IF(N186&gt;=16,"CRITICAL",IF(N186&gt;=8,"HIGH",IF(N186&gt;=4,"MEDIUM","LOW"))))</f>
        <v>LOW</v>
      </c>
      <c r="P186" s="32"/>
      <c r="Q186" s="32"/>
      <c r="R186" s="32"/>
      <c r="S186" s="32"/>
      <c r="T186" s="128" t="s">
        <v>1706</v>
      </c>
      <c r="U186" s="32"/>
      <c r="V186" s="32"/>
    </row>
    <row r="187" customFormat="false" ht="45" hidden="false" customHeight="true" outlineLevel="0" collapsed="false">
      <c r="A187" s="45" t="s">
        <v>2041</v>
      </c>
      <c r="B187" s="120" t="s">
        <v>676</v>
      </c>
      <c r="C187" s="23" t="s">
        <v>644</v>
      </c>
      <c r="D187" s="23" t="s">
        <v>2042</v>
      </c>
      <c r="E187" s="23"/>
      <c r="F187" s="23"/>
      <c r="G187" s="23"/>
      <c r="H187" s="23"/>
      <c r="I187" s="23"/>
      <c r="J187" s="23" t="n">
        <f aca="false">H187*I187</f>
        <v>0</v>
      </c>
      <c r="K187" s="23" t="str">
        <f aca="false">IF(J187="","",IF(J187&gt;=20,"CRITICAL",IF(J187&gt;=12,"HIGH",IF(J187&gt;=6,"MEDIUM","LOW"))))</f>
        <v>LOW</v>
      </c>
      <c r="L187" s="23"/>
      <c r="M187" s="23"/>
      <c r="N187" s="23" t="n">
        <f aca="false">IF(J187="","",MAX(1,J187-IFERROR(M187*2,0)))</f>
        <v>1</v>
      </c>
      <c r="O187" s="23" t="str">
        <f aca="false">IF(N187="","",IF(N187&gt;=16,"CRITICAL",IF(N187&gt;=8,"HIGH",IF(N187&gt;=4,"MEDIUM","LOW"))))</f>
        <v>LOW</v>
      </c>
      <c r="P187" s="23"/>
      <c r="Q187" s="23"/>
      <c r="R187" s="23"/>
      <c r="S187" s="23"/>
      <c r="T187" s="128" t="s">
        <v>1706</v>
      </c>
      <c r="U187" s="23"/>
      <c r="V187" s="23"/>
    </row>
    <row r="188" customFormat="false" ht="45" hidden="false" customHeight="true" outlineLevel="0" collapsed="false">
      <c r="A188" s="47" t="s">
        <v>2043</v>
      </c>
      <c r="B188" s="121" t="s">
        <v>679</v>
      </c>
      <c r="C188" s="32" t="s">
        <v>644</v>
      </c>
      <c r="D188" s="32" t="s">
        <v>2044</v>
      </c>
      <c r="E188" s="32"/>
      <c r="F188" s="32"/>
      <c r="G188" s="32"/>
      <c r="H188" s="32"/>
      <c r="I188" s="32"/>
      <c r="J188" s="32" t="n">
        <f aca="false">H188*I188</f>
        <v>0</v>
      </c>
      <c r="K188" s="32" t="str">
        <f aca="false">IF(J188="","",IF(J188&gt;=20,"CRITICAL",IF(J188&gt;=12,"HIGH",IF(J188&gt;=6,"MEDIUM","LOW"))))</f>
        <v>LOW</v>
      </c>
      <c r="L188" s="32"/>
      <c r="M188" s="32"/>
      <c r="N188" s="32" t="n">
        <f aca="false">IF(J188="","",MAX(1,J188-IFERROR(M188*2,0)))</f>
        <v>1</v>
      </c>
      <c r="O188" s="32" t="str">
        <f aca="false">IF(N188="","",IF(N188&gt;=16,"CRITICAL",IF(N188&gt;=8,"HIGH",IF(N188&gt;=4,"MEDIUM","LOW"))))</f>
        <v>LOW</v>
      </c>
      <c r="P188" s="32"/>
      <c r="Q188" s="32"/>
      <c r="R188" s="32"/>
      <c r="S188" s="32"/>
      <c r="T188" s="128" t="s">
        <v>1706</v>
      </c>
      <c r="U188" s="32"/>
      <c r="V188" s="32"/>
    </row>
    <row r="189" customFormat="false" ht="45" hidden="false" customHeight="true" outlineLevel="0" collapsed="false">
      <c r="A189" s="45" t="s">
        <v>2045</v>
      </c>
      <c r="B189" s="120" t="s">
        <v>682</v>
      </c>
      <c r="C189" s="23" t="s">
        <v>644</v>
      </c>
      <c r="D189" s="23" t="s">
        <v>2046</v>
      </c>
      <c r="E189" s="23"/>
      <c r="F189" s="23"/>
      <c r="G189" s="23"/>
      <c r="H189" s="23"/>
      <c r="I189" s="23"/>
      <c r="J189" s="23" t="n">
        <f aca="false">H189*I189</f>
        <v>0</v>
      </c>
      <c r="K189" s="23" t="str">
        <f aca="false">IF(J189="","",IF(J189&gt;=20,"CRITICAL",IF(J189&gt;=12,"HIGH",IF(J189&gt;=6,"MEDIUM","LOW"))))</f>
        <v>LOW</v>
      </c>
      <c r="L189" s="23"/>
      <c r="M189" s="23"/>
      <c r="N189" s="23" t="n">
        <f aca="false">IF(J189="","",MAX(1,J189-IFERROR(M189*2,0)))</f>
        <v>1</v>
      </c>
      <c r="O189" s="23" t="str">
        <f aca="false">IF(N189="","",IF(N189&gt;=16,"CRITICAL",IF(N189&gt;=8,"HIGH",IF(N189&gt;=4,"MEDIUM","LOW"))))</f>
        <v>LOW</v>
      </c>
      <c r="P189" s="23"/>
      <c r="Q189" s="23"/>
      <c r="R189" s="23"/>
      <c r="S189" s="23"/>
      <c r="T189" s="128" t="s">
        <v>1706</v>
      </c>
      <c r="U189" s="23"/>
      <c r="V189" s="23"/>
    </row>
    <row r="190" customFormat="false" ht="45" hidden="false" customHeight="true" outlineLevel="0" collapsed="false">
      <c r="A190" s="47" t="s">
        <v>2047</v>
      </c>
      <c r="B190" s="121" t="s">
        <v>685</v>
      </c>
      <c r="C190" s="32" t="s">
        <v>644</v>
      </c>
      <c r="D190" s="32" t="s">
        <v>2048</v>
      </c>
      <c r="E190" s="32"/>
      <c r="F190" s="32"/>
      <c r="G190" s="32"/>
      <c r="H190" s="32"/>
      <c r="I190" s="32"/>
      <c r="J190" s="32" t="n">
        <f aca="false">H190*I190</f>
        <v>0</v>
      </c>
      <c r="K190" s="32" t="str">
        <f aca="false">IF(J190="","",IF(J190&gt;=20,"CRITICAL",IF(J190&gt;=12,"HIGH",IF(J190&gt;=6,"MEDIUM","LOW"))))</f>
        <v>LOW</v>
      </c>
      <c r="L190" s="32"/>
      <c r="M190" s="32"/>
      <c r="N190" s="32" t="n">
        <f aca="false">IF(J190="","",MAX(1,J190-IFERROR(M190*2,0)))</f>
        <v>1</v>
      </c>
      <c r="O190" s="32" t="str">
        <f aca="false">IF(N190="","",IF(N190&gt;=16,"CRITICAL",IF(N190&gt;=8,"HIGH",IF(N190&gt;=4,"MEDIUM","LOW"))))</f>
        <v>LOW</v>
      </c>
      <c r="P190" s="32"/>
      <c r="Q190" s="32"/>
      <c r="R190" s="32"/>
      <c r="S190" s="32"/>
      <c r="T190" s="128" t="s">
        <v>1706</v>
      </c>
      <c r="U190" s="32"/>
      <c r="V190" s="32"/>
    </row>
    <row r="191" customFormat="false" ht="45" hidden="false" customHeight="true" outlineLevel="0" collapsed="false">
      <c r="A191" s="45" t="s">
        <v>2049</v>
      </c>
      <c r="B191" s="120" t="s">
        <v>689</v>
      </c>
      <c r="C191" s="23" t="s">
        <v>644</v>
      </c>
      <c r="D191" s="23" t="s">
        <v>2050</v>
      </c>
      <c r="E191" s="23"/>
      <c r="F191" s="23"/>
      <c r="G191" s="23"/>
      <c r="H191" s="23"/>
      <c r="I191" s="23"/>
      <c r="J191" s="23" t="n">
        <f aca="false">H191*I191</f>
        <v>0</v>
      </c>
      <c r="K191" s="23" t="str">
        <f aca="false">IF(J191="","",IF(J191&gt;=20,"CRITICAL",IF(J191&gt;=12,"HIGH",IF(J191&gt;=6,"MEDIUM","LOW"))))</f>
        <v>LOW</v>
      </c>
      <c r="L191" s="23"/>
      <c r="M191" s="23"/>
      <c r="N191" s="23" t="n">
        <f aca="false">IF(J191="","",MAX(1,J191-IFERROR(M191*2,0)))</f>
        <v>1</v>
      </c>
      <c r="O191" s="23" t="str">
        <f aca="false">IF(N191="","",IF(N191&gt;=16,"CRITICAL",IF(N191&gt;=8,"HIGH",IF(N191&gt;=4,"MEDIUM","LOW"))))</f>
        <v>LOW</v>
      </c>
      <c r="P191" s="23"/>
      <c r="Q191" s="23"/>
      <c r="R191" s="23"/>
      <c r="S191" s="23"/>
      <c r="T191" s="128" t="s">
        <v>1706</v>
      </c>
      <c r="U191" s="23"/>
      <c r="V191" s="23"/>
    </row>
    <row r="192" customFormat="false" ht="45" hidden="false" customHeight="true" outlineLevel="0" collapsed="false">
      <c r="A192" s="47" t="s">
        <v>2051</v>
      </c>
      <c r="B192" s="121" t="s">
        <v>692</v>
      </c>
      <c r="C192" s="32" t="s">
        <v>644</v>
      </c>
      <c r="D192" s="32" t="s">
        <v>2052</v>
      </c>
      <c r="E192" s="32"/>
      <c r="F192" s="32"/>
      <c r="G192" s="32"/>
      <c r="H192" s="32"/>
      <c r="I192" s="32"/>
      <c r="J192" s="32" t="n">
        <f aca="false">H192*I192</f>
        <v>0</v>
      </c>
      <c r="K192" s="32" t="str">
        <f aca="false">IF(J192="","",IF(J192&gt;=20,"CRITICAL",IF(J192&gt;=12,"HIGH",IF(J192&gt;=6,"MEDIUM","LOW"))))</f>
        <v>LOW</v>
      </c>
      <c r="L192" s="32"/>
      <c r="M192" s="32"/>
      <c r="N192" s="32" t="n">
        <f aca="false">IF(J192="","",MAX(1,J192-IFERROR(M192*2,0)))</f>
        <v>1</v>
      </c>
      <c r="O192" s="32" t="str">
        <f aca="false">IF(N192="","",IF(N192&gt;=16,"CRITICAL",IF(N192&gt;=8,"HIGH",IF(N192&gt;=4,"MEDIUM","LOW"))))</f>
        <v>LOW</v>
      </c>
      <c r="P192" s="32"/>
      <c r="Q192" s="32"/>
      <c r="R192" s="32"/>
      <c r="S192" s="32"/>
      <c r="T192" s="128" t="s">
        <v>1706</v>
      </c>
      <c r="U192" s="32"/>
      <c r="V192" s="32"/>
    </row>
    <row r="193" customFormat="false" ht="45" hidden="false" customHeight="true" outlineLevel="0" collapsed="false">
      <c r="A193" s="45" t="s">
        <v>2053</v>
      </c>
      <c r="B193" s="120" t="s">
        <v>695</v>
      </c>
      <c r="C193" s="23" t="s">
        <v>644</v>
      </c>
      <c r="D193" s="23" t="s">
        <v>696</v>
      </c>
      <c r="E193" s="23"/>
      <c r="F193" s="23"/>
      <c r="G193" s="23"/>
      <c r="H193" s="23"/>
      <c r="I193" s="23"/>
      <c r="J193" s="23" t="n">
        <f aca="false">H193*I193</f>
        <v>0</v>
      </c>
      <c r="K193" s="23" t="str">
        <f aca="false">IF(J193="","",IF(J193&gt;=20,"CRITICAL",IF(J193&gt;=12,"HIGH",IF(J193&gt;=6,"MEDIUM","LOW"))))</f>
        <v>LOW</v>
      </c>
      <c r="L193" s="23"/>
      <c r="M193" s="23"/>
      <c r="N193" s="23" t="n">
        <f aca="false">IF(J193="","",MAX(1,J193-IFERROR(M193*2,0)))</f>
        <v>1</v>
      </c>
      <c r="O193" s="23" t="str">
        <f aca="false">IF(N193="","",IF(N193&gt;=16,"CRITICAL",IF(N193&gt;=8,"HIGH",IF(N193&gt;=4,"MEDIUM","LOW"))))</f>
        <v>LOW</v>
      </c>
      <c r="P193" s="23"/>
      <c r="Q193" s="23"/>
      <c r="R193" s="23"/>
      <c r="S193" s="23"/>
      <c r="T193" s="128" t="s">
        <v>1706</v>
      </c>
      <c r="U193" s="23"/>
      <c r="V193" s="23"/>
    </row>
    <row r="194" customFormat="false" ht="45" hidden="false" customHeight="true" outlineLevel="0" collapsed="false">
      <c r="A194" s="47" t="s">
        <v>2054</v>
      </c>
      <c r="B194" s="121" t="s">
        <v>698</v>
      </c>
      <c r="C194" s="32" t="s">
        <v>644</v>
      </c>
      <c r="D194" s="32" t="s">
        <v>2055</v>
      </c>
      <c r="E194" s="32"/>
      <c r="F194" s="32"/>
      <c r="G194" s="32"/>
      <c r="H194" s="32"/>
      <c r="I194" s="32"/>
      <c r="J194" s="32" t="n">
        <f aca="false">H194*I194</f>
        <v>0</v>
      </c>
      <c r="K194" s="32" t="str">
        <f aca="false">IF(J194="","",IF(J194&gt;=20,"CRITICAL",IF(J194&gt;=12,"HIGH",IF(J194&gt;=6,"MEDIUM","LOW"))))</f>
        <v>LOW</v>
      </c>
      <c r="L194" s="32"/>
      <c r="M194" s="32"/>
      <c r="N194" s="32" t="n">
        <f aca="false">IF(J194="","",MAX(1,J194-IFERROR(M194*2,0)))</f>
        <v>1</v>
      </c>
      <c r="O194" s="32" t="str">
        <f aca="false">IF(N194="","",IF(N194&gt;=16,"CRITICAL",IF(N194&gt;=8,"HIGH",IF(N194&gt;=4,"MEDIUM","LOW"))))</f>
        <v>LOW</v>
      </c>
      <c r="P194" s="32"/>
      <c r="Q194" s="32"/>
      <c r="R194" s="32"/>
      <c r="S194" s="32"/>
      <c r="T194" s="128" t="s">
        <v>1706</v>
      </c>
      <c r="U194" s="32"/>
      <c r="V194" s="32"/>
    </row>
    <row r="195" customFormat="false" ht="45" hidden="false" customHeight="true" outlineLevel="0" collapsed="false">
      <c r="A195" s="45" t="s">
        <v>2056</v>
      </c>
      <c r="B195" s="120" t="s">
        <v>701</v>
      </c>
      <c r="C195" s="23" t="s">
        <v>644</v>
      </c>
      <c r="D195" s="23" t="s">
        <v>2057</v>
      </c>
      <c r="E195" s="23"/>
      <c r="F195" s="23"/>
      <c r="G195" s="23"/>
      <c r="H195" s="23"/>
      <c r="I195" s="23"/>
      <c r="J195" s="23" t="n">
        <f aca="false">H195*I195</f>
        <v>0</v>
      </c>
      <c r="K195" s="23" t="str">
        <f aca="false">IF(J195="","",IF(J195&gt;=20,"CRITICAL",IF(J195&gt;=12,"HIGH",IF(J195&gt;=6,"MEDIUM","LOW"))))</f>
        <v>LOW</v>
      </c>
      <c r="L195" s="23"/>
      <c r="M195" s="23"/>
      <c r="N195" s="23" t="n">
        <f aca="false">IF(J195="","",MAX(1,J195-IFERROR(M195*2,0)))</f>
        <v>1</v>
      </c>
      <c r="O195" s="23" t="str">
        <f aca="false">IF(N195="","",IF(N195&gt;=16,"CRITICAL",IF(N195&gt;=8,"HIGH",IF(N195&gt;=4,"MEDIUM","LOW"))))</f>
        <v>LOW</v>
      </c>
      <c r="P195" s="23"/>
      <c r="Q195" s="23"/>
      <c r="R195" s="23"/>
      <c r="S195" s="23"/>
      <c r="T195" s="128" t="s">
        <v>1706</v>
      </c>
      <c r="U195" s="23"/>
      <c r="V195" s="23"/>
    </row>
    <row r="196" customFormat="false" ht="45" hidden="false" customHeight="true" outlineLevel="0" collapsed="false">
      <c r="A196" s="47" t="s">
        <v>2058</v>
      </c>
      <c r="B196" s="121" t="s">
        <v>704</v>
      </c>
      <c r="C196" s="32" t="s">
        <v>644</v>
      </c>
      <c r="D196" s="32" t="s">
        <v>2059</v>
      </c>
      <c r="E196" s="32"/>
      <c r="F196" s="32"/>
      <c r="G196" s="32"/>
      <c r="H196" s="32"/>
      <c r="I196" s="32"/>
      <c r="J196" s="32" t="n">
        <f aca="false">H196*I196</f>
        <v>0</v>
      </c>
      <c r="K196" s="32" t="str">
        <f aca="false">IF(J196="","",IF(J196&gt;=20,"CRITICAL",IF(J196&gt;=12,"HIGH",IF(J196&gt;=6,"MEDIUM","LOW"))))</f>
        <v>LOW</v>
      </c>
      <c r="L196" s="32"/>
      <c r="M196" s="32"/>
      <c r="N196" s="32" t="n">
        <f aca="false">IF(J196="","",MAX(1,J196-IFERROR(M196*2,0)))</f>
        <v>1</v>
      </c>
      <c r="O196" s="32" t="str">
        <f aca="false">IF(N196="","",IF(N196&gt;=16,"CRITICAL",IF(N196&gt;=8,"HIGH",IF(N196&gt;=4,"MEDIUM","LOW"))))</f>
        <v>LOW</v>
      </c>
      <c r="P196" s="32"/>
      <c r="Q196" s="32"/>
      <c r="R196" s="32"/>
      <c r="S196" s="32"/>
      <c r="T196" s="128" t="s">
        <v>1706</v>
      </c>
      <c r="U196" s="32"/>
      <c r="V196" s="32"/>
    </row>
    <row r="197" customFormat="false" ht="45" hidden="false" customHeight="true" outlineLevel="0" collapsed="false">
      <c r="A197" s="45" t="s">
        <v>2060</v>
      </c>
      <c r="B197" s="120" t="s">
        <v>707</v>
      </c>
      <c r="C197" s="23" t="s">
        <v>644</v>
      </c>
      <c r="D197" s="23" t="s">
        <v>2061</v>
      </c>
      <c r="E197" s="23"/>
      <c r="F197" s="23"/>
      <c r="G197" s="23"/>
      <c r="H197" s="23"/>
      <c r="I197" s="23"/>
      <c r="J197" s="23" t="n">
        <f aca="false">H197*I197</f>
        <v>0</v>
      </c>
      <c r="K197" s="23" t="str">
        <f aca="false">IF(J197="","",IF(J197&gt;=20,"CRITICAL",IF(J197&gt;=12,"HIGH",IF(J197&gt;=6,"MEDIUM","LOW"))))</f>
        <v>LOW</v>
      </c>
      <c r="L197" s="23"/>
      <c r="M197" s="23"/>
      <c r="N197" s="23" t="n">
        <f aca="false">IF(J197="","",MAX(1,J197-IFERROR(M197*2,0)))</f>
        <v>1</v>
      </c>
      <c r="O197" s="23" t="str">
        <f aca="false">IF(N197="","",IF(N197&gt;=16,"CRITICAL",IF(N197&gt;=8,"HIGH",IF(N197&gt;=4,"MEDIUM","LOW"))))</f>
        <v>LOW</v>
      </c>
      <c r="P197" s="23"/>
      <c r="Q197" s="23"/>
      <c r="R197" s="23"/>
      <c r="S197" s="23"/>
      <c r="T197" s="128" t="s">
        <v>1706</v>
      </c>
      <c r="U197" s="23"/>
      <c r="V197" s="23"/>
    </row>
    <row r="198" customFormat="false" ht="45" hidden="false" customHeight="true" outlineLevel="0" collapsed="false">
      <c r="A198" s="47" t="s">
        <v>2062</v>
      </c>
      <c r="B198" s="121" t="s">
        <v>711</v>
      </c>
      <c r="C198" s="32" t="s">
        <v>644</v>
      </c>
      <c r="D198" s="32" t="s">
        <v>2063</v>
      </c>
      <c r="E198" s="32"/>
      <c r="F198" s="32"/>
      <c r="G198" s="32"/>
      <c r="H198" s="32"/>
      <c r="I198" s="32"/>
      <c r="J198" s="32" t="n">
        <f aca="false">H198*I198</f>
        <v>0</v>
      </c>
      <c r="K198" s="32" t="str">
        <f aca="false">IF(J198="","",IF(J198&gt;=20,"CRITICAL",IF(J198&gt;=12,"HIGH",IF(J198&gt;=6,"MEDIUM","LOW"))))</f>
        <v>LOW</v>
      </c>
      <c r="L198" s="32"/>
      <c r="M198" s="32"/>
      <c r="N198" s="32" t="n">
        <f aca="false">IF(J198="","",MAX(1,J198-IFERROR(M198*2,0)))</f>
        <v>1</v>
      </c>
      <c r="O198" s="32" t="str">
        <f aca="false">IF(N198="","",IF(N198&gt;=16,"CRITICAL",IF(N198&gt;=8,"HIGH",IF(N198&gt;=4,"MEDIUM","LOW"))))</f>
        <v>LOW</v>
      </c>
      <c r="P198" s="32"/>
      <c r="Q198" s="32"/>
      <c r="R198" s="32"/>
      <c r="S198" s="32"/>
      <c r="T198" s="128" t="s">
        <v>1706</v>
      </c>
      <c r="U198" s="32"/>
      <c r="V198" s="32"/>
    </row>
    <row r="199" customFormat="false" ht="45" hidden="false" customHeight="true" outlineLevel="0" collapsed="false">
      <c r="A199" s="45" t="s">
        <v>2064</v>
      </c>
      <c r="B199" s="120" t="s">
        <v>715</v>
      </c>
      <c r="C199" s="23" t="s">
        <v>644</v>
      </c>
      <c r="D199" s="23" t="s">
        <v>2065</v>
      </c>
      <c r="E199" s="23"/>
      <c r="F199" s="23"/>
      <c r="G199" s="23"/>
      <c r="H199" s="23"/>
      <c r="I199" s="23"/>
      <c r="J199" s="23" t="n">
        <f aca="false">H199*I199</f>
        <v>0</v>
      </c>
      <c r="K199" s="23" t="str">
        <f aca="false">IF(J199="","",IF(J199&gt;=20,"CRITICAL",IF(J199&gt;=12,"HIGH",IF(J199&gt;=6,"MEDIUM","LOW"))))</f>
        <v>LOW</v>
      </c>
      <c r="L199" s="23"/>
      <c r="M199" s="23"/>
      <c r="N199" s="23" t="n">
        <f aca="false">IF(J199="","",MAX(1,J199-IFERROR(M199*2,0)))</f>
        <v>1</v>
      </c>
      <c r="O199" s="23" t="str">
        <f aca="false">IF(N199="","",IF(N199&gt;=16,"CRITICAL",IF(N199&gt;=8,"HIGH",IF(N199&gt;=4,"MEDIUM","LOW"))))</f>
        <v>LOW</v>
      </c>
      <c r="P199" s="23"/>
      <c r="Q199" s="23"/>
      <c r="R199" s="23"/>
      <c r="S199" s="23"/>
      <c r="T199" s="128" t="s">
        <v>1706</v>
      </c>
      <c r="U199" s="23"/>
      <c r="V199" s="23"/>
    </row>
    <row r="200" customFormat="false" ht="45" hidden="false" customHeight="true" outlineLevel="0" collapsed="false">
      <c r="A200" s="47" t="s">
        <v>2066</v>
      </c>
      <c r="B200" s="121" t="s">
        <v>718</v>
      </c>
      <c r="C200" s="32" t="s">
        <v>644</v>
      </c>
      <c r="D200" s="32" t="s">
        <v>2067</v>
      </c>
      <c r="E200" s="32"/>
      <c r="F200" s="32"/>
      <c r="G200" s="32"/>
      <c r="H200" s="32"/>
      <c r="I200" s="32"/>
      <c r="J200" s="32" t="n">
        <f aca="false">H200*I200</f>
        <v>0</v>
      </c>
      <c r="K200" s="32" t="str">
        <f aca="false">IF(J200="","",IF(J200&gt;=20,"CRITICAL",IF(J200&gt;=12,"HIGH",IF(J200&gt;=6,"MEDIUM","LOW"))))</f>
        <v>LOW</v>
      </c>
      <c r="L200" s="32"/>
      <c r="M200" s="32"/>
      <c r="N200" s="32" t="n">
        <f aca="false">IF(J200="","",MAX(1,J200-IFERROR(M200*2,0)))</f>
        <v>1</v>
      </c>
      <c r="O200" s="32" t="str">
        <f aca="false">IF(N200="","",IF(N200&gt;=16,"CRITICAL",IF(N200&gt;=8,"HIGH",IF(N200&gt;=4,"MEDIUM","LOW"))))</f>
        <v>LOW</v>
      </c>
      <c r="P200" s="32"/>
      <c r="Q200" s="32"/>
      <c r="R200" s="32"/>
      <c r="S200" s="32"/>
      <c r="T200" s="128" t="s">
        <v>1706</v>
      </c>
      <c r="U200" s="32"/>
      <c r="V200" s="32"/>
    </row>
    <row r="201" customFormat="false" ht="45" hidden="false" customHeight="true" outlineLevel="0" collapsed="false">
      <c r="A201" s="45" t="s">
        <v>2068</v>
      </c>
      <c r="B201" s="120" t="s">
        <v>721</v>
      </c>
      <c r="C201" s="23" t="s">
        <v>644</v>
      </c>
      <c r="D201" s="23" t="s">
        <v>2069</v>
      </c>
      <c r="E201" s="23"/>
      <c r="F201" s="23"/>
      <c r="G201" s="23"/>
      <c r="H201" s="23"/>
      <c r="I201" s="23"/>
      <c r="J201" s="23" t="n">
        <f aca="false">H201*I201</f>
        <v>0</v>
      </c>
      <c r="K201" s="23" t="str">
        <f aca="false">IF(J201="","",IF(J201&gt;=20,"CRITICAL",IF(J201&gt;=12,"HIGH",IF(J201&gt;=6,"MEDIUM","LOW"))))</f>
        <v>LOW</v>
      </c>
      <c r="L201" s="23"/>
      <c r="M201" s="23"/>
      <c r="N201" s="23" t="n">
        <f aca="false">IF(J201="","",MAX(1,J201-IFERROR(M201*2,0)))</f>
        <v>1</v>
      </c>
      <c r="O201" s="23" t="str">
        <f aca="false">IF(N201="","",IF(N201&gt;=16,"CRITICAL",IF(N201&gt;=8,"HIGH",IF(N201&gt;=4,"MEDIUM","LOW"))))</f>
        <v>LOW</v>
      </c>
      <c r="P201" s="23"/>
      <c r="Q201" s="23"/>
      <c r="R201" s="23"/>
      <c r="S201" s="23"/>
      <c r="T201" s="128" t="s">
        <v>1706</v>
      </c>
      <c r="U201" s="23"/>
      <c r="V201" s="23"/>
    </row>
    <row r="202" customFormat="false" ht="45" hidden="false" customHeight="true" outlineLevel="0" collapsed="false">
      <c r="A202" s="47" t="s">
        <v>2070</v>
      </c>
      <c r="B202" s="121" t="s">
        <v>725</v>
      </c>
      <c r="C202" s="32" t="s">
        <v>644</v>
      </c>
      <c r="D202" s="32" t="s">
        <v>2071</v>
      </c>
      <c r="E202" s="32"/>
      <c r="F202" s="32"/>
      <c r="G202" s="32"/>
      <c r="H202" s="32"/>
      <c r="I202" s="32"/>
      <c r="J202" s="32" t="n">
        <f aca="false">H202*I202</f>
        <v>0</v>
      </c>
      <c r="K202" s="32" t="str">
        <f aca="false">IF(J202="","",IF(J202&gt;=20,"CRITICAL",IF(J202&gt;=12,"HIGH",IF(J202&gt;=6,"MEDIUM","LOW"))))</f>
        <v>LOW</v>
      </c>
      <c r="L202" s="32"/>
      <c r="M202" s="32"/>
      <c r="N202" s="32" t="n">
        <f aca="false">IF(J202="","",MAX(1,J202-IFERROR(M202*2,0)))</f>
        <v>1</v>
      </c>
      <c r="O202" s="32" t="str">
        <f aca="false">IF(N202="","",IF(N202&gt;=16,"CRITICAL",IF(N202&gt;=8,"HIGH",IF(N202&gt;=4,"MEDIUM","LOW"))))</f>
        <v>LOW</v>
      </c>
      <c r="P202" s="32"/>
      <c r="Q202" s="32"/>
      <c r="R202" s="32"/>
      <c r="S202" s="32"/>
      <c r="T202" s="128" t="s">
        <v>1706</v>
      </c>
      <c r="U202" s="32"/>
      <c r="V202" s="32"/>
    </row>
    <row r="203" customFormat="false" ht="45" hidden="false" customHeight="true" outlineLevel="0" collapsed="false">
      <c r="A203" s="45" t="s">
        <v>2072</v>
      </c>
      <c r="B203" s="120" t="s">
        <v>728</v>
      </c>
      <c r="C203" s="23" t="s">
        <v>644</v>
      </c>
      <c r="D203" s="23" t="s">
        <v>2073</v>
      </c>
      <c r="E203" s="23"/>
      <c r="F203" s="23"/>
      <c r="G203" s="23"/>
      <c r="H203" s="23"/>
      <c r="I203" s="23"/>
      <c r="J203" s="23" t="n">
        <f aca="false">H203*I203</f>
        <v>0</v>
      </c>
      <c r="K203" s="23" t="str">
        <f aca="false">IF(J203="","",IF(J203&gt;=20,"CRITICAL",IF(J203&gt;=12,"HIGH",IF(J203&gt;=6,"MEDIUM","LOW"))))</f>
        <v>LOW</v>
      </c>
      <c r="L203" s="23"/>
      <c r="M203" s="23"/>
      <c r="N203" s="23" t="n">
        <f aca="false">IF(J203="","",MAX(1,J203-IFERROR(M203*2,0)))</f>
        <v>1</v>
      </c>
      <c r="O203" s="23" t="str">
        <f aca="false">IF(N203="","",IF(N203&gt;=16,"CRITICAL",IF(N203&gt;=8,"HIGH",IF(N203&gt;=4,"MEDIUM","LOW"))))</f>
        <v>LOW</v>
      </c>
      <c r="P203" s="23"/>
      <c r="Q203" s="23"/>
      <c r="R203" s="23"/>
      <c r="S203" s="23"/>
      <c r="T203" s="128" t="s">
        <v>1706</v>
      </c>
      <c r="U203" s="23"/>
      <c r="V203" s="23"/>
    </row>
    <row r="204" customFormat="false" ht="45" hidden="false" customHeight="true" outlineLevel="0" collapsed="false">
      <c r="A204" s="47" t="s">
        <v>2074</v>
      </c>
      <c r="B204" s="121" t="s">
        <v>731</v>
      </c>
      <c r="C204" s="32" t="s">
        <v>644</v>
      </c>
      <c r="D204" s="32" t="s">
        <v>2075</v>
      </c>
      <c r="E204" s="32"/>
      <c r="F204" s="32"/>
      <c r="G204" s="32"/>
      <c r="H204" s="32"/>
      <c r="I204" s="32"/>
      <c r="J204" s="32" t="n">
        <f aca="false">H204*I204</f>
        <v>0</v>
      </c>
      <c r="K204" s="32" t="str">
        <f aca="false">IF(J204="","",IF(J204&gt;=20,"CRITICAL",IF(J204&gt;=12,"HIGH",IF(J204&gt;=6,"MEDIUM","LOW"))))</f>
        <v>LOW</v>
      </c>
      <c r="L204" s="32"/>
      <c r="M204" s="32"/>
      <c r="N204" s="32" t="n">
        <f aca="false">IF(J204="","",MAX(1,J204-IFERROR(M204*2,0)))</f>
        <v>1</v>
      </c>
      <c r="O204" s="32" t="str">
        <f aca="false">IF(N204="","",IF(N204&gt;=16,"CRITICAL",IF(N204&gt;=8,"HIGH",IF(N204&gt;=4,"MEDIUM","LOW"))))</f>
        <v>LOW</v>
      </c>
      <c r="P204" s="32"/>
      <c r="Q204" s="32"/>
      <c r="R204" s="32"/>
      <c r="S204" s="32"/>
      <c r="T204" s="128" t="s">
        <v>1706</v>
      </c>
      <c r="U204" s="32"/>
      <c r="V204" s="32"/>
    </row>
    <row r="205" customFormat="false" ht="45" hidden="false" customHeight="true" outlineLevel="0" collapsed="false">
      <c r="A205" s="45" t="s">
        <v>2076</v>
      </c>
      <c r="B205" s="120" t="s">
        <v>734</v>
      </c>
      <c r="C205" s="23" t="s">
        <v>644</v>
      </c>
      <c r="D205" s="23" t="s">
        <v>2077</v>
      </c>
      <c r="E205" s="23"/>
      <c r="F205" s="23"/>
      <c r="G205" s="23"/>
      <c r="H205" s="23"/>
      <c r="I205" s="23"/>
      <c r="J205" s="23" t="n">
        <f aca="false">H205*I205</f>
        <v>0</v>
      </c>
      <c r="K205" s="23" t="str">
        <f aca="false">IF(J205="","",IF(J205&gt;=20,"CRITICAL",IF(J205&gt;=12,"HIGH",IF(J205&gt;=6,"MEDIUM","LOW"))))</f>
        <v>LOW</v>
      </c>
      <c r="L205" s="23"/>
      <c r="M205" s="23"/>
      <c r="N205" s="23" t="n">
        <f aca="false">IF(J205="","",MAX(1,J205-IFERROR(M205*2,0)))</f>
        <v>1</v>
      </c>
      <c r="O205" s="23" t="str">
        <f aca="false">IF(N205="","",IF(N205&gt;=16,"CRITICAL",IF(N205&gt;=8,"HIGH",IF(N205&gt;=4,"MEDIUM","LOW"))))</f>
        <v>LOW</v>
      </c>
      <c r="P205" s="23"/>
      <c r="Q205" s="23"/>
      <c r="R205" s="23"/>
      <c r="S205" s="23"/>
      <c r="T205" s="128" t="s">
        <v>1706</v>
      </c>
      <c r="U205" s="23"/>
      <c r="V205" s="23"/>
    </row>
    <row r="206" customFormat="false" ht="45" hidden="false" customHeight="true" outlineLevel="0" collapsed="false">
      <c r="A206" s="47" t="s">
        <v>2078</v>
      </c>
      <c r="B206" s="121" t="s">
        <v>737</v>
      </c>
      <c r="C206" s="32" t="s">
        <v>644</v>
      </c>
      <c r="D206" s="32" t="s">
        <v>2079</v>
      </c>
      <c r="E206" s="32"/>
      <c r="F206" s="32"/>
      <c r="G206" s="32"/>
      <c r="H206" s="32"/>
      <c r="I206" s="32"/>
      <c r="J206" s="32" t="n">
        <f aca="false">H206*I206</f>
        <v>0</v>
      </c>
      <c r="K206" s="32" t="str">
        <f aca="false">IF(J206="","",IF(J206&gt;=20,"CRITICAL",IF(J206&gt;=12,"HIGH",IF(J206&gt;=6,"MEDIUM","LOW"))))</f>
        <v>LOW</v>
      </c>
      <c r="L206" s="32"/>
      <c r="M206" s="32"/>
      <c r="N206" s="32" t="n">
        <f aca="false">IF(J206="","",MAX(1,J206-IFERROR(M206*2,0)))</f>
        <v>1</v>
      </c>
      <c r="O206" s="32" t="str">
        <f aca="false">IF(N206="","",IF(N206&gt;=16,"CRITICAL",IF(N206&gt;=8,"HIGH",IF(N206&gt;=4,"MEDIUM","LOW"))))</f>
        <v>LOW</v>
      </c>
      <c r="P206" s="32"/>
      <c r="Q206" s="32"/>
      <c r="R206" s="32"/>
      <c r="S206" s="32"/>
      <c r="T206" s="128" t="s">
        <v>1706</v>
      </c>
      <c r="U206" s="32"/>
      <c r="V206" s="32"/>
    </row>
    <row r="207" customFormat="false" ht="45" hidden="false" customHeight="true" outlineLevel="0" collapsed="false">
      <c r="A207" s="45" t="s">
        <v>2080</v>
      </c>
      <c r="B207" s="120" t="s">
        <v>740</v>
      </c>
      <c r="C207" s="23" t="s">
        <v>644</v>
      </c>
      <c r="D207" s="23" t="s">
        <v>2081</v>
      </c>
      <c r="E207" s="23"/>
      <c r="F207" s="23"/>
      <c r="G207" s="23"/>
      <c r="H207" s="23"/>
      <c r="I207" s="23"/>
      <c r="J207" s="23" t="n">
        <f aca="false">H207*I207</f>
        <v>0</v>
      </c>
      <c r="K207" s="23" t="str">
        <f aca="false">IF(J207="","",IF(J207&gt;=20,"CRITICAL",IF(J207&gt;=12,"HIGH",IF(J207&gt;=6,"MEDIUM","LOW"))))</f>
        <v>LOW</v>
      </c>
      <c r="L207" s="23"/>
      <c r="M207" s="23"/>
      <c r="N207" s="23" t="n">
        <f aca="false">IF(J207="","",MAX(1,J207-IFERROR(M207*2,0)))</f>
        <v>1</v>
      </c>
      <c r="O207" s="23" t="str">
        <f aca="false">IF(N207="","",IF(N207&gt;=16,"CRITICAL",IF(N207&gt;=8,"HIGH",IF(N207&gt;=4,"MEDIUM","LOW"))))</f>
        <v>LOW</v>
      </c>
      <c r="P207" s="23"/>
      <c r="Q207" s="23"/>
      <c r="R207" s="23"/>
      <c r="S207" s="23"/>
      <c r="T207" s="128" t="s">
        <v>1706</v>
      </c>
      <c r="U207" s="23"/>
      <c r="V207" s="23"/>
    </row>
    <row r="208" customFormat="false" ht="45" hidden="false" customHeight="true" outlineLevel="0" collapsed="false">
      <c r="A208" s="47" t="s">
        <v>2082</v>
      </c>
      <c r="B208" s="121" t="s">
        <v>743</v>
      </c>
      <c r="C208" s="32" t="s">
        <v>644</v>
      </c>
      <c r="D208" s="32" t="s">
        <v>2083</v>
      </c>
      <c r="E208" s="32"/>
      <c r="F208" s="32"/>
      <c r="G208" s="32"/>
      <c r="H208" s="32"/>
      <c r="I208" s="32"/>
      <c r="J208" s="32" t="n">
        <f aca="false">H208*I208</f>
        <v>0</v>
      </c>
      <c r="K208" s="32" t="str">
        <f aca="false">IF(J208="","",IF(J208&gt;=20,"CRITICAL",IF(J208&gt;=12,"HIGH",IF(J208&gt;=6,"MEDIUM","LOW"))))</f>
        <v>LOW</v>
      </c>
      <c r="L208" s="32"/>
      <c r="M208" s="32"/>
      <c r="N208" s="32" t="n">
        <f aca="false">IF(J208="","",MAX(1,J208-IFERROR(M208*2,0)))</f>
        <v>1</v>
      </c>
      <c r="O208" s="32" t="str">
        <f aca="false">IF(N208="","",IF(N208&gt;=16,"CRITICAL",IF(N208&gt;=8,"HIGH",IF(N208&gt;=4,"MEDIUM","LOW"))))</f>
        <v>LOW</v>
      </c>
      <c r="P208" s="32"/>
      <c r="Q208" s="32"/>
      <c r="R208" s="32"/>
      <c r="S208" s="32"/>
      <c r="T208" s="128" t="s">
        <v>1706</v>
      </c>
      <c r="U208" s="32"/>
      <c r="V208" s="32"/>
    </row>
    <row r="209" customFormat="false" ht="45" hidden="false" customHeight="true" outlineLevel="0" collapsed="false">
      <c r="A209" s="45" t="s">
        <v>2084</v>
      </c>
      <c r="B209" s="122" t="s">
        <v>747</v>
      </c>
      <c r="C209" s="23" t="s">
        <v>746</v>
      </c>
      <c r="D209" s="23" t="s">
        <v>2085</v>
      </c>
      <c r="E209" s="23"/>
      <c r="F209" s="23"/>
      <c r="G209" s="23"/>
      <c r="H209" s="23"/>
      <c r="I209" s="23"/>
      <c r="J209" s="23" t="n">
        <f aca="false">H209*I209</f>
        <v>0</v>
      </c>
      <c r="K209" s="23" t="str">
        <f aca="false">IF(J209="","",IF(J209&gt;=20,"CRITICAL",IF(J209&gt;=12,"HIGH",IF(J209&gt;=6,"MEDIUM","LOW"))))</f>
        <v>LOW</v>
      </c>
      <c r="L209" s="23"/>
      <c r="M209" s="23"/>
      <c r="N209" s="23" t="n">
        <f aca="false">IF(J209="","",MAX(1,J209-IFERROR(M209*2,0)))</f>
        <v>1</v>
      </c>
      <c r="O209" s="23" t="str">
        <f aca="false">IF(N209="","",IF(N209&gt;=16,"CRITICAL",IF(N209&gt;=8,"HIGH",IF(N209&gt;=4,"MEDIUM","LOW"))))</f>
        <v>LOW</v>
      </c>
      <c r="P209" s="23"/>
      <c r="Q209" s="23"/>
      <c r="R209" s="23"/>
      <c r="S209" s="23"/>
      <c r="T209" s="128" t="s">
        <v>1706</v>
      </c>
      <c r="U209" s="23"/>
      <c r="V209" s="23"/>
    </row>
    <row r="210" customFormat="false" ht="45" hidden="false" customHeight="true" outlineLevel="0" collapsed="false">
      <c r="A210" s="47" t="s">
        <v>2086</v>
      </c>
      <c r="B210" s="123" t="s">
        <v>751</v>
      </c>
      <c r="C210" s="32" t="s">
        <v>746</v>
      </c>
      <c r="D210" s="32" t="s">
        <v>1843</v>
      </c>
      <c r="E210" s="32"/>
      <c r="F210" s="32"/>
      <c r="G210" s="32"/>
      <c r="H210" s="32"/>
      <c r="I210" s="32"/>
      <c r="J210" s="32" t="n">
        <f aca="false">H210*I210</f>
        <v>0</v>
      </c>
      <c r="K210" s="32" t="str">
        <f aca="false">IF(J210="","",IF(J210&gt;=20,"CRITICAL",IF(J210&gt;=12,"HIGH",IF(J210&gt;=6,"MEDIUM","LOW"))))</f>
        <v>LOW</v>
      </c>
      <c r="L210" s="32"/>
      <c r="M210" s="32"/>
      <c r="N210" s="32" t="n">
        <f aca="false">IF(J210="","",MAX(1,J210-IFERROR(M210*2,0)))</f>
        <v>1</v>
      </c>
      <c r="O210" s="32" t="str">
        <f aca="false">IF(N210="","",IF(N210&gt;=16,"CRITICAL",IF(N210&gt;=8,"HIGH",IF(N210&gt;=4,"MEDIUM","LOW"))))</f>
        <v>LOW</v>
      </c>
      <c r="P210" s="32"/>
      <c r="Q210" s="32"/>
      <c r="R210" s="32"/>
      <c r="S210" s="32"/>
      <c r="T210" s="128" t="s">
        <v>1706</v>
      </c>
      <c r="U210" s="32"/>
      <c r="V210" s="32"/>
    </row>
    <row r="211" customFormat="false" ht="45" hidden="false" customHeight="true" outlineLevel="0" collapsed="false">
      <c r="A211" s="45" t="s">
        <v>2087</v>
      </c>
      <c r="B211" s="122" t="s">
        <v>754</v>
      </c>
      <c r="C211" s="23" t="s">
        <v>746</v>
      </c>
      <c r="D211" s="23" t="s">
        <v>2088</v>
      </c>
      <c r="E211" s="23"/>
      <c r="F211" s="23"/>
      <c r="G211" s="23"/>
      <c r="H211" s="23"/>
      <c r="I211" s="23"/>
      <c r="J211" s="23" t="n">
        <f aca="false">H211*I211</f>
        <v>0</v>
      </c>
      <c r="K211" s="23" t="str">
        <f aca="false">IF(J211="","",IF(J211&gt;=20,"CRITICAL",IF(J211&gt;=12,"HIGH",IF(J211&gt;=6,"MEDIUM","LOW"))))</f>
        <v>LOW</v>
      </c>
      <c r="L211" s="23"/>
      <c r="M211" s="23"/>
      <c r="N211" s="23" t="n">
        <f aca="false">IF(J211="","",MAX(1,J211-IFERROR(M211*2,0)))</f>
        <v>1</v>
      </c>
      <c r="O211" s="23" t="str">
        <f aca="false">IF(N211="","",IF(N211&gt;=16,"CRITICAL",IF(N211&gt;=8,"HIGH",IF(N211&gt;=4,"MEDIUM","LOW"))))</f>
        <v>LOW</v>
      </c>
      <c r="P211" s="23"/>
      <c r="Q211" s="23"/>
      <c r="R211" s="23"/>
      <c r="S211" s="23"/>
      <c r="T211" s="128" t="s">
        <v>1706</v>
      </c>
      <c r="U211" s="23"/>
      <c r="V211" s="23"/>
    </row>
    <row r="212" customFormat="false" ht="45" hidden="false" customHeight="true" outlineLevel="0" collapsed="false">
      <c r="A212" s="47" t="s">
        <v>2089</v>
      </c>
      <c r="B212" s="123" t="s">
        <v>757</v>
      </c>
      <c r="C212" s="32" t="s">
        <v>746</v>
      </c>
      <c r="D212" s="32" t="s">
        <v>2090</v>
      </c>
      <c r="E212" s="32"/>
      <c r="F212" s="32"/>
      <c r="G212" s="32"/>
      <c r="H212" s="32"/>
      <c r="I212" s="32"/>
      <c r="J212" s="32" t="n">
        <f aca="false">H212*I212</f>
        <v>0</v>
      </c>
      <c r="K212" s="32" t="str">
        <f aca="false">IF(J212="","",IF(J212&gt;=20,"CRITICAL",IF(J212&gt;=12,"HIGH",IF(J212&gt;=6,"MEDIUM","LOW"))))</f>
        <v>LOW</v>
      </c>
      <c r="L212" s="32"/>
      <c r="M212" s="32"/>
      <c r="N212" s="32" t="n">
        <f aca="false">IF(J212="","",MAX(1,J212-IFERROR(M212*2,0)))</f>
        <v>1</v>
      </c>
      <c r="O212" s="32" t="str">
        <f aca="false">IF(N212="","",IF(N212&gt;=16,"CRITICAL",IF(N212&gt;=8,"HIGH",IF(N212&gt;=4,"MEDIUM","LOW"))))</f>
        <v>LOW</v>
      </c>
      <c r="P212" s="32"/>
      <c r="Q212" s="32"/>
      <c r="R212" s="32"/>
      <c r="S212" s="32"/>
      <c r="T212" s="128" t="s">
        <v>1706</v>
      </c>
      <c r="U212" s="32"/>
      <c r="V212" s="32"/>
    </row>
    <row r="213" customFormat="false" ht="45" hidden="false" customHeight="true" outlineLevel="0" collapsed="false">
      <c r="A213" s="45" t="s">
        <v>2091</v>
      </c>
      <c r="B213" s="122" t="s">
        <v>760</v>
      </c>
      <c r="C213" s="23" t="s">
        <v>746</v>
      </c>
      <c r="D213" s="23" t="s">
        <v>2092</v>
      </c>
      <c r="E213" s="23"/>
      <c r="F213" s="23"/>
      <c r="G213" s="23"/>
      <c r="H213" s="23"/>
      <c r="I213" s="23"/>
      <c r="J213" s="23" t="n">
        <f aca="false">H213*I213</f>
        <v>0</v>
      </c>
      <c r="K213" s="23" t="str">
        <f aca="false">IF(J213="","",IF(J213&gt;=20,"CRITICAL",IF(J213&gt;=12,"HIGH",IF(J213&gt;=6,"MEDIUM","LOW"))))</f>
        <v>LOW</v>
      </c>
      <c r="L213" s="23"/>
      <c r="M213" s="23"/>
      <c r="N213" s="23" t="n">
        <f aca="false">IF(J213="","",MAX(1,J213-IFERROR(M213*2,0)))</f>
        <v>1</v>
      </c>
      <c r="O213" s="23" t="str">
        <f aca="false">IF(N213="","",IF(N213&gt;=16,"CRITICAL",IF(N213&gt;=8,"HIGH",IF(N213&gt;=4,"MEDIUM","LOW"))))</f>
        <v>LOW</v>
      </c>
      <c r="P213" s="23"/>
      <c r="Q213" s="23"/>
      <c r="R213" s="23"/>
      <c r="S213" s="23"/>
      <c r="T213" s="128" t="s">
        <v>1706</v>
      </c>
      <c r="U213" s="23"/>
      <c r="V213" s="23"/>
    </row>
    <row r="214" customFormat="false" ht="45" hidden="false" customHeight="true" outlineLevel="0" collapsed="false">
      <c r="A214" s="47" t="s">
        <v>2093</v>
      </c>
      <c r="B214" s="123" t="s">
        <v>763</v>
      </c>
      <c r="C214" s="32" t="s">
        <v>746</v>
      </c>
      <c r="D214" s="32" t="s">
        <v>764</v>
      </c>
      <c r="E214" s="32"/>
      <c r="F214" s="32"/>
      <c r="G214" s="32"/>
      <c r="H214" s="32"/>
      <c r="I214" s="32"/>
      <c r="J214" s="32" t="n">
        <f aca="false">H214*I214</f>
        <v>0</v>
      </c>
      <c r="K214" s="32" t="str">
        <f aca="false">IF(J214="","",IF(J214&gt;=20,"CRITICAL",IF(J214&gt;=12,"HIGH",IF(J214&gt;=6,"MEDIUM","LOW"))))</f>
        <v>LOW</v>
      </c>
      <c r="L214" s="32"/>
      <c r="M214" s="32"/>
      <c r="N214" s="32" t="n">
        <f aca="false">IF(J214="","",MAX(1,J214-IFERROR(M214*2,0)))</f>
        <v>1</v>
      </c>
      <c r="O214" s="32" t="str">
        <f aca="false">IF(N214="","",IF(N214&gt;=16,"CRITICAL",IF(N214&gt;=8,"HIGH",IF(N214&gt;=4,"MEDIUM","LOW"))))</f>
        <v>LOW</v>
      </c>
      <c r="P214" s="32"/>
      <c r="Q214" s="32"/>
      <c r="R214" s="32"/>
      <c r="S214" s="32"/>
      <c r="T214" s="128" t="s">
        <v>1706</v>
      </c>
      <c r="U214" s="32"/>
      <c r="V214" s="32"/>
    </row>
    <row r="215" customFormat="false" ht="45" hidden="false" customHeight="true" outlineLevel="0" collapsed="false">
      <c r="A215" s="45" t="s">
        <v>2094</v>
      </c>
      <c r="B215" s="122" t="s">
        <v>766</v>
      </c>
      <c r="C215" s="23" t="s">
        <v>746</v>
      </c>
      <c r="D215" s="23" t="s">
        <v>2095</v>
      </c>
      <c r="E215" s="23"/>
      <c r="F215" s="23"/>
      <c r="G215" s="23"/>
      <c r="H215" s="23"/>
      <c r="I215" s="23"/>
      <c r="J215" s="23" t="n">
        <f aca="false">H215*I215</f>
        <v>0</v>
      </c>
      <c r="K215" s="23" t="str">
        <f aca="false">IF(J215="","",IF(J215&gt;=20,"CRITICAL",IF(J215&gt;=12,"HIGH",IF(J215&gt;=6,"MEDIUM","LOW"))))</f>
        <v>LOW</v>
      </c>
      <c r="L215" s="23"/>
      <c r="M215" s="23"/>
      <c r="N215" s="23" t="n">
        <f aca="false">IF(J215="","",MAX(1,J215-IFERROR(M215*2,0)))</f>
        <v>1</v>
      </c>
      <c r="O215" s="23" t="str">
        <f aca="false">IF(N215="","",IF(N215&gt;=16,"CRITICAL",IF(N215&gt;=8,"HIGH",IF(N215&gt;=4,"MEDIUM","LOW"))))</f>
        <v>LOW</v>
      </c>
      <c r="P215" s="23"/>
      <c r="Q215" s="23"/>
      <c r="R215" s="23"/>
      <c r="S215" s="23"/>
      <c r="T215" s="128" t="s">
        <v>1706</v>
      </c>
      <c r="U215" s="23"/>
      <c r="V215" s="23"/>
    </row>
    <row r="216" customFormat="false" ht="45" hidden="false" customHeight="true" outlineLevel="0" collapsed="false">
      <c r="A216" s="47" t="s">
        <v>2096</v>
      </c>
      <c r="B216" s="123" t="s">
        <v>769</v>
      </c>
      <c r="C216" s="32" t="s">
        <v>746</v>
      </c>
      <c r="D216" s="32" t="s">
        <v>770</v>
      </c>
      <c r="E216" s="32"/>
      <c r="F216" s="32"/>
      <c r="G216" s="32"/>
      <c r="H216" s="32"/>
      <c r="I216" s="32"/>
      <c r="J216" s="32" t="n">
        <f aca="false">H216*I216</f>
        <v>0</v>
      </c>
      <c r="K216" s="32" t="str">
        <f aca="false">IF(J216="","",IF(J216&gt;=20,"CRITICAL",IF(J216&gt;=12,"HIGH",IF(J216&gt;=6,"MEDIUM","LOW"))))</f>
        <v>LOW</v>
      </c>
      <c r="L216" s="32"/>
      <c r="M216" s="32"/>
      <c r="N216" s="32" t="n">
        <f aca="false">IF(J216="","",MAX(1,J216-IFERROR(M216*2,0)))</f>
        <v>1</v>
      </c>
      <c r="O216" s="32" t="str">
        <f aca="false">IF(N216="","",IF(N216&gt;=16,"CRITICAL",IF(N216&gt;=8,"HIGH",IF(N216&gt;=4,"MEDIUM","LOW"))))</f>
        <v>LOW</v>
      </c>
      <c r="P216" s="32"/>
      <c r="Q216" s="32"/>
      <c r="R216" s="32"/>
      <c r="S216" s="32"/>
      <c r="T216" s="128" t="s">
        <v>1706</v>
      </c>
      <c r="U216" s="32"/>
      <c r="V216" s="32"/>
    </row>
    <row r="217" customFormat="false" ht="45" hidden="false" customHeight="true" outlineLevel="0" collapsed="false">
      <c r="A217" s="45" t="s">
        <v>2097</v>
      </c>
      <c r="B217" s="122" t="s">
        <v>772</v>
      </c>
      <c r="C217" s="23" t="s">
        <v>746</v>
      </c>
      <c r="D217" s="23" t="s">
        <v>773</v>
      </c>
      <c r="E217" s="23"/>
      <c r="F217" s="23"/>
      <c r="G217" s="23"/>
      <c r="H217" s="23"/>
      <c r="I217" s="23"/>
      <c r="J217" s="23" t="n">
        <f aca="false">H217*I217</f>
        <v>0</v>
      </c>
      <c r="K217" s="23" t="str">
        <f aca="false">IF(J217="","",IF(J217&gt;=20,"CRITICAL",IF(J217&gt;=12,"HIGH",IF(J217&gt;=6,"MEDIUM","LOW"))))</f>
        <v>LOW</v>
      </c>
      <c r="L217" s="23"/>
      <c r="M217" s="23"/>
      <c r="N217" s="23" t="n">
        <f aca="false">IF(J217="","",MAX(1,J217-IFERROR(M217*2,0)))</f>
        <v>1</v>
      </c>
      <c r="O217" s="23" t="str">
        <f aca="false">IF(N217="","",IF(N217&gt;=16,"CRITICAL",IF(N217&gt;=8,"HIGH",IF(N217&gt;=4,"MEDIUM","LOW"))))</f>
        <v>LOW</v>
      </c>
      <c r="P217" s="23"/>
      <c r="Q217" s="23"/>
      <c r="R217" s="23"/>
      <c r="S217" s="23"/>
      <c r="T217" s="128" t="s">
        <v>1706</v>
      </c>
      <c r="U217" s="23"/>
      <c r="V217" s="23"/>
    </row>
    <row r="218" customFormat="false" ht="45" hidden="false" customHeight="true" outlineLevel="0" collapsed="false">
      <c r="A218" s="47" t="s">
        <v>2098</v>
      </c>
      <c r="B218" s="123" t="s">
        <v>775</v>
      </c>
      <c r="C218" s="32" t="s">
        <v>746</v>
      </c>
      <c r="D218" s="32" t="s">
        <v>2099</v>
      </c>
      <c r="E218" s="32"/>
      <c r="F218" s="32"/>
      <c r="G218" s="32"/>
      <c r="H218" s="32"/>
      <c r="I218" s="32"/>
      <c r="J218" s="32" t="n">
        <f aca="false">H218*I218</f>
        <v>0</v>
      </c>
      <c r="K218" s="32" t="str">
        <f aca="false">IF(J218="","",IF(J218&gt;=20,"CRITICAL",IF(J218&gt;=12,"HIGH",IF(J218&gt;=6,"MEDIUM","LOW"))))</f>
        <v>LOW</v>
      </c>
      <c r="L218" s="32"/>
      <c r="M218" s="32"/>
      <c r="N218" s="32" t="n">
        <f aca="false">IF(J218="","",MAX(1,J218-IFERROR(M218*2,0)))</f>
        <v>1</v>
      </c>
      <c r="O218" s="32" t="str">
        <f aca="false">IF(N218="","",IF(N218&gt;=16,"CRITICAL",IF(N218&gt;=8,"HIGH",IF(N218&gt;=4,"MEDIUM","LOW"))))</f>
        <v>LOW</v>
      </c>
      <c r="P218" s="32"/>
      <c r="Q218" s="32"/>
      <c r="R218" s="32"/>
      <c r="S218" s="32"/>
      <c r="T218" s="128" t="s">
        <v>1706</v>
      </c>
      <c r="U218" s="32"/>
      <c r="V218" s="32"/>
    </row>
    <row r="219" customFormat="false" ht="45" hidden="false" customHeight="true" outlineLevel="0" collapsed="false">
      <c r="A219" s="45" t="s">
        <v>2100</v>
      </c>
      <c r="B219" s="122" t="s">
        <v>778</v>
      </c>
      <c r="C219" s="23" t="s">
        <v>746</v>
      </c>
      <c r="D219" s="23" t="s">
        <v>2101</v>
      </c>
      <c r="E219" s="23"/>
      <c r="F219" s="23"/>
      <c r="G219" s="23"/>
      <c r="H219" s="23"/>
      <c r="I219" s="23"/>
      <c r="J219" s="23" t="n">
        <f aca="false">H219*I219</f>
        <v>0</v>
      </c>
      <c r="K219" s="23" t="str">
        <f aca="false">IF(J219="","",IF(J219&gt;=20,"CRITICAL",IF(J219&gt;=12,"HIGH",IF(J219&gt;=6,"MEDIUM","LOW"))))</f>
        <v>LOW</v>
      </c>
      <c r="L219" s="23"/>
      <c r="M219" s="23"/>
      <c r="N219" s="23" t="n">
        <f aca="false">IF(J219="","",MAX(1,J219-IFERROR(M219*2,0)))</f>
        <v>1</v>
      </c>
      <c r="O219" s="23" t="str">
        <f aca="false">IF(N219="","",IF(N219&gt;=16,"CRITICAL",IF(N219&gt;=8,"HIGH",IF(N219&gt;=4,"MEDIUM","LOW"))))</f>
        <v>LOW</v>
      </c>
      <c r="P219" s="23"/>
      <c r="Q219" s="23"/>
      <c r="R219" s="23"/>
      <c r="S219" s="23"/>
      <c r="T219" s="128" t="s">
        <v>1706</v>
      </c>
      <c r="U219" s="23"/>
      <c r="V219" s="23"/>
    </row>
    <row r="220" customFormat="false" ht="45" hidden="false" customHeight="true" outlineLevel="0" collapsed="false">
      <c r="A220" s="47" t="s">
        <v>2102</v>
      </c>
      <c r="B220" s="123" t="s">
        <v>781</v>
      </c>
      <c r="C220" s="32" t="s">
        <v>746</v>
      </c>
      <c r="D220" s="32" t="s">
        <v>782</v>
      </c>
      <c r="E220" s="32"/>
      <c r="F220" s="32"/>
      <c r="G220" s="32"/>
      <c r="H220" s="32"/>
      <c r="I220" s="32"/>
      <c r="J220" s="32" t="n">
        <f aca="false">H220*I220</f>
        <v>0</v>
      </c>
      <c r="K220" s="32" t="str">
        <f aca="false">IF(J220="","",IF(J220&gt;=20,"CRITICAL",IF(J220&gt;=12,"HIGH",IF(J220&gt;=6,"MEDIUM","LOW"))))</f>
        <v>LOW</v>
      </c>
      <c r="L220" s="32"/>
      <c r="M220" s="32"/>
      <c r="N220" s="32" t="n">
        <f aca="false">IF(J220="","",MAX(1,J220-IFERROR(M220*2,0)))</f>
        <v>1</v>
      </c>
      <c r="O220" s="32" t="str">
        <f aca="false">IF(N220="","",IF(N220&gt;=16,"CRITICAL",IF(N220&gt;=8,"HIGH",IF(N220&gt;=4,"MEDIUM","LOW"))))</f>
        <v>LOW</v>
      </c>
      <c r="P220" s="32"/>
      <c r="Q220" s="32"/>
      <c r="R220" s="32"/>
      <c r="S220" s="32"/>
      <c r="T220" s="128" t="s">
        <v>1706</v>
      </c>
      <c r="U220" s="32"/>
      <c r="V220" s="32"/>
    </row>
    <row r="221" customFormat="false" ht="45" hidden="false" customHeight="true" outlineLevel="0" collapsed="false">
      <c r="A221" s="45" t="s">
        <v>2103</v>
      </c>
      <c r="B221" s="122" t="s">
        <v>784</v>
      </c>
      <c r="C221" s="23" t="s">
        <v>746</v>
      </c>
      <c r="D221" s="23" t="s">
        <v>2104</v>
      </c>
      <c r="E221" s="23"/>
      <c r="F221" s="23"/>
      <c r="G221" s="23"/>
      <c r="H221" s="23"/>
      <c r="I221" s="23"/>
      <c r="J221" s="23" t="n">
        <f aca="false">H221*I221</f>
        <v>0</v>
      </c>
      <c r="K221" s="23" t="str">
        <f aca="false">IF(J221="","",IF(J221&gt;=20,"CRITICAL",IF(J221&gt;=12,"HIGH",IF(J221&gt;=6,"MEDIUM","LOW"))))</f>
        <v>LOW</v>
      </c>
      <c r="L221" s="23"/>
      <c r="M221" s="23"/>
      <c r="N221" s="23" t="n">
        <f aca="false">IF(J221="","",MAX(1,J221-IFERROR(M221*2,0)))</f>
        <v>1</v>
      </c>
      <c r="O221" s="23" t="str">
        <f aca="false">IF(N221="","",IF(N221&gt;=16,"CRITICAL",IF(N221&gt;=8,"HIGH",IF(N221&gt;=4,"MEDIUM","LOW"))))</f>
        <v>LOW</v>
      </c>
      <c r="P221" s="23"/>
      <c r="Q221" s="23"/>
      <c r="R221" s="23"/>
      <c r="S221" s="23"/>
      <c r="T221" s="128" t="s">
        <v>1706</v>
      </c>
      <c r="U221" s="23"/>
      <c r="V221" s="23"/>
    </row>
    <row r="222" customFormat="false" ht="45" hidden="false" customHeight="true" outlineLevel="0" collapsed="false">
      <c r="A222" s="47" t="s">
        <v>2105</v>
      </c>
      <c r="B222" s="123" t="s">
        <v>787</v>
      </c>
      <c r="C222" s="32" t="s">
        <v>746</v>
      </c>
      <c r="D222" s="32" t="s">
        <v>2106</v>
      </c>
      <c r="E222" s="32"/>
      <c r="F222" s="32"/>
      <c r="G222" s="32"/>
      <c r="H222" s="32"/>
      <c r="I222" s="32"/>
      <c r="J222" s="32" t="n">
        <f aca="false">H222*I222</f>
        <v>0</v>
      </c>
      <c r="K222" s="32" t="str">
        <f aca="false">IF(J222="","",IF(J222&gt;=20,"CRITICAL",IF(J222&gt;=12,"HIGH",IF(J222&gt;=6,"MEDIUM","LOW"))))</f>
        <v>LOW</v>
      </c>
      <c r="L222" s="32"/>
      <c r="M222" s="32"/>
      <c r="N222" s="32" t="n">
        <f aca="false">IF(J222="","",MAX(1,J222-IFERROR(M222*2,0)))</f>
        <v>1</v>
      </c>
      <c r="O222" s="32" t="str">
        <f aca="false">IF(N222="","",IF(N222&gt;=16,"CRITICAL",IF(N222&gt;=8,"HIGH",IF(N222&gt;=4,"MEDIUM","LOW"))))</f>
        <v>LOW</v>
      </c>
      <c r="P222" s="32"/>
      <c r="Q222" s="32"/>
      <c r="R222" s="32"/>
      <c r="S222" s="32"/>
      <c r="T222" s="128" t="s">
        <v>1706</v>
      </c>
      <c r="U222" s="32"/>
      <c r="V222" s="32"/>
    </row>
    <row r="223" customFormat="false" ht="45" hidden="false" customHeight="true" outlineLevel="0" collapsed="false">
      <c r="A223" s="45" t="s">
        <v>2107</v>
      </c>
      <c r="B223" s="122" t="s">
        <v>790</v>
      </c>
      <c r="C223" s="23" t="s">
        <v>746</v>
      </c>
      <c r="D223" s="23" t="s">
        <v>2108</v>
      </c>
      <c r="E223" s="23"/>
      <c r="F223" s="23"/>
      <c r="G223" s="23"/>
      <c r="H223" s="23"/>
      <c r="I223" s="23"/>
      <c r="J223" s="23" t="n">
        <f aca="false">H223*I223</f>
        <v>0</v>
      </c>
      <c r="K223" s="23" t="str">
        <f aca="false">IF(J223="","",IF(J223&gt;=20,"CRITICAL",IF(J223&gt;=12,"HIGH",IF(J223&gt;=6,"MEDIUM","LOW"))))</f>
        <v>LOW</v>
      </c>
      <c r="L223" s="23"/>
      <c r="M223" s="23"/>
      <c r="N223" s="23" t="n">
        <f aca="false">IF(J223="","",MAX(1,J223-IFERROR(M223*2,0)))</f>
        <v>1</v>
      </c>
      <c r="O223" s="23" t="str">
        <f aca="false">IF(N223="","",IF(N223&gt;=16,"CRITICAL",IF(N223&gt;=8,"HIGH",IF(N223&gt;=4,"MEDIUM","LOW"))))</f>
        <v>LOW</v>
      </c>
      <c r="P223" s="23"/>
      <c r="Q223" s="23"/>
      <c r="R223" s="23"/>
      <c r="S223" s="23"/>
      <c r="T223" s="128" t="s">
        <v>1706</v>
      </c>
      <c r="U223" s="23"/>
      <c r="V223" s="23"/>
    </row>
    <row r="224" customFormat="false" ht="45" hidden="false" customHeight="true" outlineLevel="0" collapsed="false">
      <c r="A224" s="47" t="s">
        <v>2109</v>
      </c>
      <c r="B224" s="123" t="s">
        <v>793</v>
      </c>
      <c r="C224" s="32" t="s">
        <v>746</v>
      </c>
      <c r="D224" s="32" t="s">
        <v>794</v>
      </c>
      <c r="E224" s="32"/>
      <c r="F224" s="32"/>
      <c r="G224" s="32"/>
      <c r="H224" s="32"/>
      <c r="I224" s="32"/>
      <c r="J224" s="32" t="n">
        <f aca="false">H224*I224</f>
        <v>0</v>
      </c>
      <c r="K224" s="32" t="str">
        <f aca="false">IF(J224="","",IF(J224&gt;=20,"CRITICAL",IF(J224&gt;=12,"HIGH",IF(J224&gt;=6,"MEDIUM","LOW"))))</f>
        <v>LOW</v>
      </c>
      <c r="L224" s="32"/>
      <c r="M224" s="32"/>
      <c r="N224" s="32" t="n">
        <f aca="false">IF(J224="","",MAX(1,J224-IFERROR(M224*2,0)))</f>
        <v>1</v>
      </c>
      <c r="O224" s="32" t="str">
        <f aca="false">IF(N224="","",IF(N224&gt;=16,"CRITICAL",IF(N224&gt;=8,"HIGH",IF(N224&gt;=4,"MEDIUM","LOW"))))</f>
        <v>LOW</v>
      </c>
      <c r="P224" s="32"/>
      <c r="Q224" s="32"/>
      <c r="R224" s="32"/>
      <c r="S224" s="32"/>
      <c r="T224" s="128" t="s">
        <v>1706</v>
      </c>
      <c r="U224" s="32"/>
      <c r="V224" s="32"/>
    </row>
    <row r="225" customFormat="false" ht="45" hidden="false" customHeight="true" outlineLevel="0" collapsed="false">
      <c r="A225" s="45" t="s">
        <v>2110</v>
      </c>
      <c r="B225" s="122" t="s">
        <v>796</v>
      </c>
      <c r="C225" s="23" t="s">
        <v>746</v>
      </c>
      <c r="D225" s="23" t="s">
        <v>2111</v>
      </c>
      <c r="E225" s="23"/>
      <c r="F225" s="23"/>
      <c r="G225" s="23"/>
      <c r="H225" s="23"/>
      <c r="I225" s="23"/>
      <c r="J225" s="23" t="n">
        <f aca="false">H225*I225</f>
        <v>0</v>
      </c>
      <c r="K225" s="23" t="str">
        <f aca="false">IF(J225="","",IF(J225&gt;=20,"CRITICAL",IF(J225&gt;=12,"HIGH",IF(J225&gt;=6,"MEDIUM","LOW"))))</f>
        <v>LOW</v>
      </c>
      <c r="L225" s="23"/>
      <c r="M225" s="23"/>
      <c r="N225" s="23" t="n">
        <f aca="false">IF(J225="","",MAX(1,J225-IFERROR(M225*2,0)))</f>
        <v>1</v>
      </c>
      <c r="O225" s="23" t="str">
        <f aca="false">IF(N225="","",IF(N225&gt;=16,"CRITICAL",IF(N225&gt;=8,"HIGH",IF(N225&gt;=4,"MEDIUM","LOW"))))</f>
        <v>LOW</v>
      </c>
      <c r="P225" s="23"/>
      <c r="Q225" s="23"/>
      <c r="R225" s="23"/>
      <c r="S225" s="23"/>
      <c r="T225" s="128" t="s">
        <v>1706</v>
      </c>
      <c r="U225" s="23"/>
      <c r="V225" s="23"/>
    </row>
    <row r="226" customFormat="false" ht="45" hidden="false" customHeight="true" outlineLevel="0" collapsed="false">
      <c r="A226" s="47" t="s">
        <v>2112</v>
      </c>
      <c r="B226" s="123" t="s">
        <v>799</v>
      </c>
      <c r="C226" s="32" t="s">
        <v>746</v>
      </c>
      <c r="D226" s="32" t="s">
        <v>2113</v>
      </c>
      <c r="E226" s="32"/>
      <c r="F226" s="32"/>
      <c r="G226" s="32"/>
      <c r="H226" s="32"/>
      <c r="I226" s="32"/>
      <c r="J226" s="32" t="n">
        <f aca="false">H226*I226</f>
        <v>0</v>
      </c>
      <c r="K226" s="32" t="str">
        <f aca="false">IF(J226="","",IF(J226&gt;=20,"CRITICAL",IF(J226&gt;=12,"HIGH",IF(J226&gt;=6,"MEDIUM","LOW"))))</f>
        <v>LOW</v>
      </c>
      <c r="L226" s="32"/>
      <c r="M226" s="32"/>
      <c r="N226" s="32" t="n">
        <f aca="false">IF(J226="","",MAX(1,J226-IFERROR(M226*2,0)))</f>
        <v>1</v>
      </c>
      <c r="O226" s="32" t="str">
        <f aca="false">IF(N226="","",IF(N226&gt;=16,"CRITICAL",IF(N226&gt;=8,"HIGH",IF(N226&gt;=4,"MEDIUM","LOW"))))</f>
        <v>LOW</v>
      </c>
      <c r="P226" s="32"/>
      <c r="Q226" s="32"/>
      <c r="R226" s="32"/>
      <c r="S226" s="32"/>
      <c r="T226" s="128" t="s">
        <v>1706</v>
      </c>
      <c r="U226" s="32"/>
      <c r="V226" s="32"/>
    </row>
    <row r="227" customFormat="false" ht="45" hidden="false" customHeight="true" outlineLevel="0" collapsed="false">
      <c r="A227" s="45" t="s">
        <v>2114</v>
      </c>
      <c r="B227" s="122" t="s">
        <v>802</v>
      </c>
      <c r="C227" s="23" t="s">
        <v>746</v>
      </c>
      <c r="D227" s="23" t="s">
        <v>803</v>
      </c>
      <c r="E227" s="23"/>
      <c r="F227" s="23"/>
      <c r="G227" s="23"/>
      <c r="H227" s="23"/>
      <c r="I227" s="23"/>
      <c r="J227" s="23" t="n">
        <f aca="false">H227*I227</f>
        <v>0</v>
      </c>
      <c r="K227" s="23" t="str">
        <f aca="false">IF(J227="","",IF(J227&gt;=20,"CRITICAL",IF(J227&gt;=12,"HIGH",IF(J227&gt;=6,"MEDIUM","LOW"))))</f>
        <v>LOW</v>
      </c>
      <c r="L227" s="23"/>
      <c r="M227" s="23"/>
      <c r="N227" s="23" t="n">
        <f aca="false">IF(J227="","",MAX(1,J227-IFERROR(M227*2,0)))</f>
        <v>1</v>
      </c>
      <c r="O227" s="23" t="str">
        <f aca="false">IF(N227="","",IF(N227&gt;=16,"CRITICAL",IF(N227&gt;=8,"HIGH",IF(N227&gt;=4,"MEDIUM","LOW"))))</f>
        <v>LOW</v>
      </c>
      <c r="P227" s="23"/>
      <c r="Q227" s="23"/>
      <c r="R227" s="23"/>
      <c r="S227" s="23"/>
      <c r="T227" s="128" t="s">
        <v>1706</v>
      </c>
      <c r="U227" s="23"/>
      <c r="V227" s="23"/>
    </row>
    <row r="228" customFormat="false" ht="45" hidden="false" customHeight="true" outlineLevel="0" collapsed="false">
      <c r="A228" s="47" t="s">
        <v>2115</v>
      </c>
      <c r="B228" s="123" t="s">
        <v>806</v>
      </c>
      <c r="C228" s="32" t="s">
        <v>746</v>
      </c>
      <c r="D228" s="32" t="s">
        <v>2116</v>
      </c>
      <c r="E228" s="32"/>
      <c r="F228" s="32"/>
      <c r="G228" s="32"/>
      <c r="H228" s="32"/>
      <c r="I228" s="32"/>
      <c r="J228" s="32" t="n">
        <f aca="false">H228*I228</f>
        <v>0</v>
      </c>
      <c r="K228" s="32" t="str">
        <f aca="false">IF(J228="","",IF(J228&gt;=20,"CRITICAL",IF(J228&gt;=12,"HIGH",IF(J228&gt;=6,"MEDIUM","LOW"))))</f>
        <v>LOW</v>
      </c>
      <c r="L228" s="32"/>
      <c r="M228" s="32"/>
      <c r="N228" s="32" t="n">
        <f aca="false">IF(J228="","",MAX(1,J228-IFERROR(M228*2,0)))</f>
        <v>1</v>
      </c>
      <c r="O228" s="32" t="str">
        <f aca="false">IF(N228="","",IF(N228&gt;=16,"CRITICAL",IF(N228&gt;=8,"HIGH",IF(N228&gt;=4,"MEDIUM","LOW"))))</f>
        <v>LOW</v>
      </c>
      <c r="P228" s="32"/>
      <c r="Q228" s="32"/>
      <c r="R228" s="32"/>
      <c r="S228" s="32"/>
      <c r="T228" s="128" t="s">
        <v>1706</v>
      </c>
      <c r="U228" s="32"/>
      <c r="V228" s="32"/>
    </row>
    <row r="229" customFormat="false" ht="45" hidden="false" customHeight="true" outlineLevel="0" collapsed="false">
      <c r="A229" s="45" t="s">
        <v>2117</v>
      </c>
      <c r="B229" s="122" t="s">
        <v>809</v>
      </c>
      <c r="C229" s="23" t="s">
        <v>746</v>
      </c>
      <c r="D229" s="23" t="s">
        <v>2118</v>
      </c>
      <c r="E229" s="23"/>
      <c r="F229" s="23"/>
      <c r="G229" s="23"/>
      <c r="H229" s="23"/>
      <c r="I229" s="23"/>
      <c r="J229" s="23" t="n">
        <f aca="false">H229*I229</f>
        <v>0</v>
      </c>
      <c r="K229" s="23" t="str">
        <f aca="false">IF(J229="","",IF(J229&gt;=20,"CRITICAL",IF(J229&gt;=12,"HIGH",IF(J229&gt;=6,"MEDIUM","LOW"))))</f>
        <v>LOW</v>
      </c>
      <c r="L229" s="23"/>
      <c r="M229" s="23"/>
      <c r="N229" s="23" t="n">
        <f aca="false">IF(J229="","",MAX(1,J229-IFERROR(M229*2,0)))</f>
        <v>1</v>
      </c>
      <c r="O229" s="23" t="str">
        <f aca="false">IF(N229="","",IF(N229&gt;=16,"CRITICAL",IF(N229&gt;=8,"HIGH",IF(N229&gt;=4,"MEDIUM","LOW"))))</f>
        <v>LOW</v>
      </c>
      <c r="P229" s="23"/>
      <c r="Q229" s="23"/>
      <c r="R229" s="23"/>
      <c r="S229" s="23"/>
      <c r="T229" s="128" t="s">
        <v>1706</v>
      </c>
      <c r="U229" s="23"/>
      <c r="V229" s="23"/>
    </row>
    <row r="230" customFormat="false" ht="45" hidden="false" customHeight="true" outlineLevel="0" collapsed="false">
      <c r="A230" s="47" t="s">
        <v>2119</v>
      </c>
      <c r="B230" s="123" t="s">
        <v>812</v>
      </c>
      <c r="C230" s="32" t="s">
        <v>746</v>
      </c>
      <c r="D230" s="32" t="s">
        <v>2120</v>
      </c>
      <c r="E230" s="32"/>
      <c r="F230" s="32"/>
      <c r="G230" s="32"/>
      <c r="H230" s="32"/>
      <c r="I230" s="32"/>
      <c r="J230" s="32" t="n">
        <f aca="false">H230*I230</f>
        <v>0</v>
      </c>
      <c r="K230" s="32" t="str">
        <f aca="false">IF(J230="","",IF(J230&gt;=20,"CRITICAL",IF(J230&gt;=12,"HIGH",IF(J230&gt;=6,"MEDIUM","LOW"))))</f>
        <v>LOW</v>
      </c>
      <c r="L230" s="32"/>
      <c r="M230" s="32"/>
      <c r="N230" s="32" t="n">
        <f aca="false">IF(J230="","",MAX(1,J230-IFERROR(M230*2,0)))</f>
        <v>1</v>
      </c>
      <c r="O230" s="32" t="str">
        <f aca="false">IF(N230="","",IF(N230&gt;=16,"CRITICAL",IF(N230&gt;=8,"HIGH",IF(N230&gt;=4,"MEDIUM","LOW"))))</f>
        <v>LOW</v>
      </c>
      <c r="P230" s="32"/>
      <c r="Q230" s="32"/>
      <c r="R230" s="32"/>
      <c r="S230" s="32"/>
      <c r="T230" s="128" t="s">
        <v>1706</v>
      </c>
      <c r="U230" s="32"/>
      <c r="V230" s="32"/>
    </row>
    <row r="231" customFormat="false" ht="45" hidden="false" customHeight="true" outlineLevel="0" collapsed="false">
      <c r="A231" s="45" t="s">
        <v>2121</v>
      </c>
      <c r="B231" s="122" t="s">
        <v>815</v>
      </c>
      <c r="C231" s="23" t="s">
        <v>746</v>
      </c>
      <c r="D231" s="23" t="s">
        <v>2122</v>
      </c>
      <c r="E231" s="23"/>
      <c r="F231" s="23"/>
      <c r="G231" s="23"/>
      <c r="H231" s="23"/>
      <c r="I231" s="23"/>
      <c r="J231" s="23" t="n">
        <f aca="false">H231*I231</f>
        <v>0</v>
      </c>
      <c r="K231" s="23" t="str">
        <f aca="false">IF(J231="","",IF(J231&gt;=20,"CRITICAL",IF(J231&gt;=12,"HIGH",IF(J231&gt;=6,"MEDIUM","LOW"))))</f>
        <v>LOW</v>
      </c>
      <c r="L231" s="23"/>
      <c r="M231" s="23"/>
      <c r="N231" s="23" t="n">
        <f aca="false">IF(J231="","",MAX(1,J231-IFERROR(M231*2,0)))</f>
        <v>1</v>
      </c>
      <c r="O231" s="23" t="str">
        <f aca="false">IF(N231="","",IF(N231&gt;=16,"CRITICAL",IF(N231&gt;=8,"HIGH",IF(N231&gt;=4,"MEDIUM","LOW"))))</f>
        <v>LOW</v>
      </c>
      <c r="P231" s="23"/>
      <c r="Q231" s="23"/>
      <c r="R231" s="23"/>
      <c r="S231" s="23"/>
      <c r="T231" s="128" t="s">
        <v>1706</v>
      </c>
      <c r="U231" s="23"/>
      <c r="V231" s="23"/>
    </row>
    <row r="232" customFormat="false" ht="45" hidden="false" customHeight="true" outlineLevel="0" collapsed="false">
      <c r="A232" s="47" t="s">
        <v>2123</v>
      </c>
      <c r="B232" s="123" t="s">
        <v>818</v>
      </c>
      <c r="C232" s="32" t="s">
        <v>746</v>
      </c>
      <c r="D232" s="32" t="s">
        <v>2124</v>
      </c>
      <c r="E232" s="32"/>
      <c r="F232" s="32"/>
      <c r="G232" s="32"/>
      <c r="H232" s="32"/>
      <c r="I232" s="32"/>
      <c r="J232" s="32" t="n">
        <f aca="false">H232*I232</f>
        <v>0</v>
      </c>
      <c r="K232" s="32" t="str">
        <f aca="false">IF(J232="","",IF(J232&gt;=20,"CRITICAL",IF(J232&gt;=12,"HIGH",IF(J232&gt;=6,"MEDIUM","LOW"))))</f>
        <v>LOW</v>
      </c>
      <c r="L232" s="32"/>
      <c r="M232" s="32"/>
      <c r="N232" s="32" t="n">
        <f aca="false">IF(J232="","",MAX(1,J232-IFERROR(M232*2,0)))</f>
        <v>1</v>
      </c>
      <c r="O232" s="32" t="str">
        <f aca="false">IF(N232="","",IF(N232&gt;=16,"CRITICAL",IF(N232&gt;=8,"HIGH",IF(N232&gt;=4,"MEDIUM","LOW"))))</f>
        <v>LOW</v>
      </c>
      <c r="P232" s="32"/>
      <c r="Q232" s="32"/>
      <c r="R232" s="32"/>
      <c r="S232" s="32"/>
      <c r="T232" s="128" t="s">
        <v>1706</v>
      </c>
      <c r="U232" s="32"/>
      <c r="V232" s="32"/>
    </row>
    <row r="233" customFormat="false" ht="45" hidden="false" customHeight="true" outlineLevel="0" collapsed="false">
      <c r="A233" s="45" t="s">
        <v>2125</v>
      </c>
      <c r="B233" s="122" t="s">
        <v>822</v>
      </c>
      <c r="C233" s="23" t="s">
        <v>746</v>
      </c>
      <c r="D233" s="23" t="s">
        <v>823</v>
      </c>
      <c r="E233" s="23"/>
      <c r="F233" s="23"/>
      <c r="G233" s="23"/>
      <c r="H233" s="23"/>
      <c r="I233" s="23"/>
      <c r="J233" s="23" t="n">
        <f aca="false">H233*I233</f>
        <v>0</v>
      </c>
      <c r="K233" s="23" t="str">
        <f aca="false">IF(J233="","",IF(J233&gt;=20,"CRITICAL",IF(J233&gt;=12,"HIGH",IF(J233&gt;=6,"MEDIUM","LOW"))))</f>
        <v>LOW</v>
      </c>
      <c r="L233" s="23"/>
      <c r="M233" s="23"/>
      <c r="N233" s="23" t="n">
        <f aca="false">IF(J233="","",MAX(1,J233-IFERROR(M233*2,0)))</f>
        <v>1</v>
      </c>
      <c r="O233" s="23" t="str">
        <f aca="false">IF(N233="","",IF(N233&gt;=16,"CRITICAL",IF(N233&gt;=8,"HIGH",IF(N233&gt;=4,"MEDIUM","LOW"))))</f>
        <v>LOW</v>
      </c>
      <c r="P233" s="23"/>
      <c r="Q233" s="23"/>
      <c r="R233" s="23"/>
      <c r="S233" s="23"/>
      <c r="T233" s="128" t="s">
        <v>1706</v>
      </c>
      <c r="U233" s="23"/>
      <c r="V233" s="23"/>
    </row>
    <row r="234" customFormat="false" ht="45" hidden="false" customHeight="true" outlineLevel="0" collapsed="false">
      <c r="A234" s="47" t="s">
        <v>2126</v>
      </c>
      <c r="B234" s="123" t="s">
        <v>825</v>
      </c>
      <c r="C234" s="32" t="s">
        <v>746</v>
      </c>
      <c r="D234" s="32" t="s">
        <v>2127</v>
      </c>
      <c r="E234" s="32"/>
      <c r="F234" s="32"/>
      <c r="G234" s="32"/>
      <c r="H234" s="32"/>
      <c r="I234" s="32"/>
      <c r="J234" s="32" t="n">
        <f aca="false">H234*I234</f>
        <v>0</v>
      </c>
      <c r="K234" s="32" t="str">
        <f aca="false">IF(J234="","",IF(J234&gt;=20,"CRITICAL",IF(J234&gt;=12,"HIGH",IF(J234&gt;=6,"MEDIUM","LOW"))))</f>
        <v>LOW</v>
      </c>
      <c r="L234" s="32"/>
      <c r="M234" s="32"/>
      <c r="N234" s="32" t="n">
        <f aca="false">IF(J234="","",MAX(1,J234-IFERROR(M234*2,0)))</f>
        <v>1</v>
      </c>
      <c r="O234" s="32" t="str">
        <f aca="false">IF(N234="","",IF(N234&gt;=16,"CRITICAL",IF(N234&gt;=8,"HIGH",IF(N234&gt;=4,"MEDIUM","LOW"))))</f>
        <v>LOW</v>
      </c>
      <c r="P234" s="32"/>
      <c r="Q234" s="32"/>
      <c r="R234" s="32"/>
      <c r="S234" s="32"/>
      <c r="T234" s="128" t="s">
        <v>1706</v>
      </c>
      <c r="U234" s="32"/>
      <c r="V234" s="32"/>
    </row>
    <row r="235" customFormat="false" ht="45" hidden="false" customHeight="true" outlineLevel="0" collapsed="false">
      <c r="A235" s="45" t="s">
        <v>2128</v>
      </c>
      <c r="B235" s="122" t="s">
        <v>828</v>
      </c>
      <c r="C235" s="23" t="s">
        <v>746</v>
      </c>
      <c r="D235" s="23" t="s">
        <v>2129</v>
      </c>
      <c r="E235" s="23"/>
      <c r="F235" s="23"/>
      <c r="G235" s="23"/>
      <c r="H235" s="23"/>
      <c r="I235" s="23"/>
      <c r="J235" s="23" t="n">
        <f aca="false">H235*I235</f>
        <v>0</v>
      </c>
      <c r="K235" s="23" t="str">
        <f aca="false">IF(J235="","",IF(J235&gt;=20,"CRITICAL",IF(J235&gt;=12,"HIGH",IF(J235&gt;=6,"MEDIUM","LOW"))))</f>
        <v>LOW</v>
      </c>
      <c r="L235" s="23"/>
      <c r="M235" s="23"/>
      <c r="N235" s="23" t="n">
        <f aca="false">IF(J235="","",MAX(1,J235-IFERROR(M235*2,0)))</f>
        <v>1</v>
      </c>
      <c r="O235" s="23" t="str">
        <f aca="false">IF(N235="","",IF(N235&gt;=16,"CRITICAL",IF(N235&gt;=8,"HIGH",IF(N235&gt;=4,"MEDIUM","LOW"))))</f>
        <v>LOW</v>
      </c>
      <c r="P235" s="23"/>
      <c r="Q235" s="23"/>
      <c r="R235" s="23"/>
      <c r="S235" s="23"/>
      <c r="T235" s="128" t="s">
        <v>1706</v>
      </c>
      <c r="U235" s="23"/>
      <c r="V235" s="23"/>
    </row>
    <row r="236" customFormat="false" ht="45" hidden="false" customHeight="true" outlineLevel="0" collapsed="false">
      <c r="A236" s="47" t="s">
        <v>2130</v>
      </c>
      <c r="B236" s="123" t="s">
        <v>831</v>
      </c>
      <c r="C236" s="32" t="s">
        <v>746</v>
      </c>
      <c r="D236" s="32" t="s">
        <v>2131</v>
      </c>
      <c r="E236" s="32"/>
      <c r="F236" s="32"/>
      <c r="G236" s="32"/>
      <c r="H236" s="32"/>
      <c r="I236" s="32"/>
      <c r="J236" s="32" t="n">
        <f aca="false">H236*I236</f>
        <v>0</v>
      </c>
      <c r="K236" s="32" t="str">
        <f aca="false">IF(J236="","",IF(J236&gt;=20,"CRITICAL",IF(J236&gt;=12,"HIGH",IF(J236&gt;=6,"MEDIUM","LOW"))))</f>
        <v>LOW</v>
      </c>
      <c r="L236" s="32"/>
      <c r="M236" s="32"/>
      <c r="N236" s="32" t="n">
        <f aca="false">IF(J236="","",MAX(1,J236-IFERROR(M236*2,0)))</f>
        <v>1</v>
      </c>
      <c r="O236" s="32" t="str">
        <f aca="false">IF(N236="","",IF(N236&gt;=16,"CRITICAL",IF(N236&gt;=8,"HIGH",IF(N236&gt;=4,"MEDIUM","LOW"))))</f>
        <v>LOW</v>
      </c>
      <c r="P236" s="32"/>
      <c r="Q236" s="32"/>
      <c r="R236" s="32"/>
      <c r="S236" s="32"/>
      <c r="T236" s="128" t="s">
        <v>1706</v>
      </c>
      <c r="U236" s="32"/>
      <c r="V236" s="32"/>
    </row>
    <row r="237" customFormat="false" ht="45" hidden="false" customHeight="true" outlineLevel="0" collapsed="false">
      <c r="A237" s="45" t="s">
        <v>2132</v>
      </c>
      <c r="B237" s="122" t="s">
        <v>834</v>
      </c>
      <c r="C237" s="23" t="s">
        <v>746</v>
      </c>
      <c r="D237" s="23" t="s">
        <v>2133</v>
      </c>
      <c r="E237" s="23"/>
      <c r="F237" s="23"/>
      <c r="G237" s="23"/>
      <c r="H237" s="23"/>
      <c r="I237" s="23"/>
      <c r="J237" s="23" t="n">
        <f aca="false">H237*I237</f>
        <v>0</v>
      </c>
      <c r="K237" s="23" t="str">
        <f aca="false">IF(J237="","",IF(J237&gt;=20,"CRITICAL",IF(J237&gt;=12,"HIGH",IF(J237&gt;=6,"MEDIUM","LOW"))))</f>
        <v>LOW</v>
      </c>
      <c r="L237" s="23"/>
      <c r="M237" s="23"/>
      <c r="N237" s="23" t="n">
        <f aca="false">IF(J237="","",MAX(1,J237-IFERROR(M237*2,0)))</f>
        <v>1</v>
      </c>
      <c r="O237" s="23" t="str">
        <f aca="false">IF(N237="","",IF(N237&gt;=16,"CRITICAL",IF(N237&gt;=8,"HIGH",IF(N237&gt;=4,"MEDIUM","LOW"))))</f>
        <v>LOW</v>
      </c>
      <c r="P237" s="23"/>
      <c r="Q237" s="23"/>
      <c r="R237" s="23"/>
      <c r="S237" s="23"/>
      <c r="T237" s="128" t="s">
        <v>1706</v>
      </c>
      <c r="U237" s="23"/>
      <c r="V237" s="23"/>
    </row>
    <row r="238" customFormat="false" ht="45" hidden="false" customHeight="true" outlineLevel="0" collapsed="false">
      <c r="A238" s="47" t="s">
        <v>2134</v>
      </c>
      <c r="B238" s="123" t="s">
        <v>837</v>
      </c>
      <c r="C238" s="32" t="s">
        <v>746</v>
      </c>
      <c r="D238" s="32" t="s">
        <v>2135</v>
      </c>
      <c r="E238" s="32"/>
      <c r="F238" s="32"/>
      <c r="G238" s="32"/>
      <c r="H238" s="32"/>
      <c r="I238" s="32"/>
      <c r="J238" s="32" t="n">
        <f aca="false">H238*I238</f>
        <v>0</v>
      </c>
      <c r="K238" s="32" t="str">
        <f aca="false">IF(J238="","",IF(J238&gt;=20,"CRITICAL",IF(J238&gt;=12,"HIGH",IF(J238&gt;=6,"MEDIUM","LOW"))))</f>
        <v>LOW</v>
      </c>
      <c r="L238" s="32"/>
      <c r="M238" s="32"/>
      <c r="N238" s="32" t="n">
        <f aca="false">IF(J238="","",MAX(1,J238-IFERROR(M238*2,0)))</f>
        <v>1</v>
      </c>
      <c r="O238" s="32" t="str">
        <f aca="false">IF(N238="","",IF(N238&gt;=16,"CRITICAL",IF(N238&gt;=8,"HIGH",IF(N238&gt;=4,"MEDIUM","LOW"))))</f>
        <v>LOW</v>
      </c>
      <c r="P238" s="32"/>
      <c r="Q238" s="32"/>
      <c r="R238" s="32"/>
      <c r="S238" s="32"/>
      <c r="T238" s="128" t="s">
        <v>1706</v>
      </c>
      <c r="U238" s="32"/>
      <c r="V238" s="32"/>
    </row>
    <row r="239" customFormat="false" ht="45" hidden="false" customHeight="true" outlineLevel="0" collapsed="false">
      <c r="A239" s="45" t="s">
        <v>2136</v>
      </c>
      <c r="B239" s="122" t="s">
        <v>840</v>
      </c>
      <c r="C239" s="23" t="s">
        <v>746</v>
      </c>
      <c r="D239" s="23" t="s">
        <v>2137</v>
      </c>
      <c r="E239" s="23"/>
      <c r="F239" s="23"/>
      <c r="G239" s="23"/>
      <c r="H239" s="23"/>
      <c r="I239" s="23"/>
      <c r="J239" s="23" t="n">
        <f aca="false">H239*I239</f>
        <v>0</v>
      </c>
      <c r="K239" s="23" t="str">
        <f aca="false">IF(J239="","",IF(J239&gt;=20,"CRITICAL",IF(J239&gt;=12,"HIGH",IF(J239&gt;=6,"MEDIUM","LOW"))))</f>
        <v>LOW</v>
      </c>
      <c r="L239" s="23"/>
      <c r="M239" s="23"/>
      <c r="N239" s="23" t="n">
        <f aca="false">IF(J239="","",MAX(1,J239-IFERROR(M239*2,0)))</f>
        <v>1</v>
      </c>
      <c r="O239" s="23" t="str">
        <f aca="false">IF(N239="","",IF(N239&gt;=16,"CRITICAL",IF(N239&gt;=8,"HIGH",IF(N239&gt;=4,"MEDIUM","LOW"))))</f>
        <v>LOW</v>
      </c>
      <c r="P239" s="23"/>
      <c r="Q239" s="23"/>
      <c r="R239" s="23"/>
      <c r="S239" s="23"/>
      <c r="T239" s="128" t="s">
        <v>1706</v>
      </c>
      <c r="U239" s="23"/>
      <c r="V239" s="23"/>
    </row>
    <row r="240" customFormat="false" ht="45" hidden="false" customHeight="true" outlineLevel="0" collapsed="false">
      <c r="A240" s="47" t="s">
        <v>2138</v>
      </c>
      <c r="B240" s="123" t="s">
        <v>843</v>
      </c>
      <c r="C240" s="32" t="s">
        <v>746</v>
      </c>
      <c r="D240" s="32" t="s">
        <v>2139</v>
      </c>
      <c r="E240" s="32"/>
      <c r="F240" s="32"/>
      <c r="G240" s="32"/>
      <c r="H240" s="32"/>
      <c r="I240" s="32"/>
      <c r="J240" s="32" t="n">
        <f aca="false">H240*I240</f>
        <v>0</v>
      </c>
      <c r="K240" s="32" t="str">
        <f aca="false">IF(J240="","",IF(J240&gt;=20,"CRITICAL",IF(J240&gt;=12,"HIGH",IF(J240&gt;=6,"MEDIUM","LOW"))))</f>
        <v>LOW</v>
      </c>
      <c r="L240" s="32"/>
      <c r="M240" s="32"/>
      <c r="N240" s="32" t="n">
        <f aca="false">IF(J240="","",MAX(1,J240-IFERROR(M240*2,0)))</f>
        <v>1</v>
      </c>
      <c r="O240" s="32" t="str">
        <f aca="false">IF(N240="","",IF(N240&gt;=16,"CRITICAL",IF(N240&gt;=8,"HIGH",IF(N240&gt;=4,"MEDIUM","LOW"))))</f>
        <v>LOW</v>
      </c>
      <c r="P240" s="32"/>
      <c r="Q240" s="32"/>
      <c r="R240" s="32"/>
      <c r="S240" s="32"/>
      <c r="T240" s="128" t="s">
        <v>1706</v>
      </c>
      <c r="U240" s="32"/>
      <c r="V240" s="32"/>
    </row>
    <row r="241" customFormat="false" ht="45" hidden="false" customHeight="true" outlineLevel="0" collapsed="false">
      <c r="A241" s="45" t="s">
        <v>2140</v>
      </c>
      <c r="B241" s="122" t="s">
        <v>846</v>
      </c>
      <c r="C241" s="23" t="s">
        <v>746</v>
      </c>
      <c r="D241" s="23" t="s">
        <v>2141</v>
      </c>
      <c r="E241" s="23"/>
      <c r="F241" s="23"/>
      <c r="G241" s="23"/>
      <c r="H241" s="23"/>
      <c r="I241" s="23"/>
      <c r="J241" s="23" t="n">
        <f aca="false">H241*I241</f>
        <v>0</v>
      </c>
      <c r="K241" s="23" t="str">
        <f aca="false">IF(J241="","",IF(J241&gt;=20,"CRITICAL",IF(J241&gt;=12,"HIGH",IF(J241&gt;=6,"MEDIUM","LOW"))))</f>
        <v>LOW</v>
      </c>
      <c r="L241" s="23"/>
      <c r="M241" s="23"/>
      <c r="N241" s="23" t="n">
        <f aca="false">IF(J241="","",MAX(1,J241-IFERROR(M241*2,0)))</f>
        <v>1</v>
      </c>
      <c r="O241" s="23" t="str">
        <f aca="false">IF(N241="","",IF(N241&gt;=16,"CRITICAL",IF(N241&gt;=8,"HIGH",IF(N241&gt;=4,"MEDIUM","LOW"))))</f>
        <v>LOW</v>
      </c>
      <c r="P241" s="23"/>
      <c r="Q241" s="23"/>
      <c r="R241" s="23"/>
      <c r="S241" s="23"/>
      <c r="T241" s="128" t="s">
        <v>1706</v>
      </c>
      <c r="U241" s="23"/>
      <c r="V241" s="23"/>
    </row>
    <row r="242" customFormat="false" ht="45" hidden="false" customHeight="true" outlineLevel="0" collapsed="false">
      <c r="A242" s="47" t="s">
        <v>2142</v>
      </c>
      <c r="B242" s="123" t="s">
        <v>849</v>
      </c>
      <c r="C242" s="32" t="s">
        <v>746</v>
      </c>
      <c r="D242" s="32" t="s">
        <v>2143</v>
      </c>
      <c r="E242" s="32"/>
      <c r="F242" s="32"/>
      <c r="G242" s="32"/>
      <c r="H242" s="32"/>
      <c r="I242" s="32"/>
      <c r="J242" s="32" t="n">
        <f aca="false">H242*I242</f>
        <v>0</v>
      </c>
      <c r="K242" s="32" t="str">
        <f aca="false">IF(J242="","",IF(J242&gt;=20,"CRITICAL",IF(J242&gt;=12,"HIGH",IF(J242&gt;=6,"MEDIUM","LOW"))))</f>
        <v>LOW</v>
      </c>
      <c r="L242" s="32"/>
      <c r="M242" s="32"/>
      <c r="N242" s="32" t="n">
        <f aca="false">IF(J242="","",MAX(1,J242-IFERROR(M242*2,0)))</f>
        <v>1</v>
      </c>
      <c r="O242" s="32" t="str">
        <f aca="false">IF(N242="","",IF(N242&gt;=16,"CRITICAL",IF(N242&gt;=8,"HIGH",IF(N242&gt;=4,"MEDIUM","LOW"))))</f>
        <v>LOW</v>
      </c>
      <c r="P242" s="32"/>
      <c r="Q242" s="32"/>
      <c r="R242" s="32"/>
      <c r="S242" s="32"/>
      <c r="T242" s="128" t="s">
        <v>1706</v>
      </c>
      <c r="U242" s="32"/>
      <c r="V242" s="32"/>
    </row>
    <row r="243" customFormat="false" ht="45" hidden="false" customHeight="true" outlineLevel="0" collapsed="false">
      <c r="A243" s="45" t="s">
        <v>2144</v>
      </c>
      <c r="B243" s="124" t="s">
        <v>854</v>
      </c>
      <c r="C243" s="23" t="s">
        <v>853</v>
      </c>
      <c r="D243" s="23" t="s">
        <v>2145</v>
      </c>
      <c r="E243" s="23"/>
      <c r="F243" s="23"/>
      <c r="G243" s="23"/>
      <c r="H243" s="23"/>
      <c r="I243" s="23"/>
      <c r="J243" s="23" t="n">
        <f aca="false">H243*I243</f>
        <v>0</v>
      </c>
      <c r="K243" s="23" t="str">
        <f aca="false">IF(J243="","",IF(J243&gt;=20,"CRITICAL",IF(J243&gt;=12,"HIGH",IF(J243&gt;=6,"MEDIUM","LOW"))))</f>
        <v>LOW</v>
      </c>
      <c r="L243" s="23"/>
      <c r="M243" s="23"/>
      <c r="N243" s="23" t="n">
        <f aca="false">IF(J243="","",MAX(1,J243-IFERROR(M243*2,0)))</f>
        <v>1</v>
      </c>
      <c r="O243" s="23" t="str">
        <f aca="false">IF(N243="","",IF(N243&gt;=16,"CRITICAL",IF(N243&gt;=8,"HIGH",IF(N243&gt;=4,"MEDIUM","LOW"))))</f>
        <v>LOW</v>
      </c>
      <c r="P243" s="23"/>
      <c r="Q243" s="23"/>
      <c r="R243" s="23"/>
      <c r="S243" s="23"/>
      <c r="T243" s="128" t="s">
        <v>1706</v>
      </c>
      <c r="U243" s="23"/>
      <c r="V243" s="23"/>
    </row>
    <row r="244" customFormat="false" ht="45" hidden="false" customHeight="true" outlineLevel="0" collapsed="false">
      <c r="A244" s="47" t="s">
        <v>2146</v>
      </c>
      <c r="B244" s="125" t="s">
        <v>858</v>
      </c>
      <c r="C244" s="32" t="s">
        <v>853</v>
      </c>
      <c r="D244" s="32" t="s">
        <v>1843</v>
      </c>
      <c r="E244" s="32"/>
      <c r="F244" s="32"/>
      <c r="G244" s="32"/>
      <c r="H244" s="32"/>
      <c r="I244" s="32"/>
      <c r="J244" s="32" t="n">
        <f aca="false">H244*I244</f>
        <v>0</v>
      </c>
      <c r="K244" s="32" t="str">
        <f aca="false">IF(J244="","",IF(J244&gt;=20,"CRITICAL",IF(J244&gt;=12,"HIGH",IF(J244&gt;=6,"MEDIUM","LOW"))))</f>
        <v>LOW</v>
      </c>
      <c r="L244" s="32"/>
      <c r="M244" s="32"/>
      <c r="N244" s="32" t="n">
        <f aca="false">IF(J244="","",MAX(1,J244-IFERROR(M244*2,0)))</f>
        <v>1</v>
      </c>
      <c r="O244" s="32" t="str">
        <f aca="false">IF(N244="","",IF(N244&gt;=16,"CRITICAL",IF(N244&gt;=8,"HIGH",IF(N244&gt;=4,"MEDIUM","LOW"))))</f>
        <v>LOW</v>
      </c>
      <c r="P244" s="32"/>
      <c r="Q244" s="32"/>
      <c r="R244" s="32"/>
      <c r="S244" s="32"/>
      <c r="T244" s="128" t="s">
        <v>1706</v>
      </c>
      <c r="U244" s="32"/>
      <c r="V244" s="32"/>
    </row>
    <row r="245" customFormat="false" ht="45" hidden="false" customHeight="true" outlineLevel="0" collapsed="false">
      <c r="A245" s="45" t="s">
        <v>2147</v>
      </c>
      <c r="B245" s="124" t="s">
        <v>861</v>
      </c>
      <c r="C245" s="23" t="s">
        <v>853</v>
      </c>
      <c r="D245" s="23" t="s">
        <v>2148</v>
      </c>
      <c r="E245" s="23"/>
      <c r="F245" s="23"/>
      <c r="G245" s="23"/>
      <c r="H245" s="23"/>
      <c r="I245" s="23"/>
      <c r="J245" s="23" t="n">
        <f aca="false">H245*I245</f>
        <v>0</v>
      </c>
      <c r="K245" s="23" t="str">
        <f aca="false">IF(J245="","",IF(J245&gt;=20,"CRITICAL",IF(J245&gt;=12,"HIGH",IF(J245&gt;=6,"MEDIUM","LOW"))))</f>
        <v>LOW</v>
      </c>
      <c r="L245" s="23"/>
      <c r="M245" s="23"/>
      <c r="N245" s="23" t="n">
        <f aca="false">IF(J245="","",MAX(1,J245-IFERROR(M245*2,0)))</f>
        <v>1</v>
      </c>
      <c r="O245" s="23" t="str">
        <f aca="false">IF(N245="","",IF(N245&gt;=16,"CRITICAL",IF(N245&gt;=8,"HIGH",IF(N245&gt;=4,"MEDIUM","LOW"))))</f>
        <v>LOW</v>
      </c>
      <c r="P245" s="23"/>
      <c r="Q245" s="23"/>
      <c r="R245" s="23"/>
      <c r="S245" s="23"/>
      <c r="T245" s="128" t="s">
        <v>1706</v>
      </c>
      <c r="U245" s="23"/>
      <c r="V245" s="23"/>
    </row>
    <row r="246" customFormat="false" ht="45" hidden="false" customHeight="true" outlineLevel="0" collapsed="false">
      <c r="A246" s="47" t="s">
        <v>2149</v>
      </c>
      <c r="B246" s="125" t="s">
        <v>864</v>
      </c>
      <c r="C246" s="32" t="s">
        <v>853</v>
      </c>
      <c r="D246" s="32" t="s">
        <v>2150</v>
      </c>
      <c r="E246" s="32"/>
      <c r="F246" s="32"/>
      <c r="G246" s="32"/>
      <c r="H246" s="32"/>
      <c r="I246" s="32"/>
      <c r="J246" s="32" t="n">
        <f aca="false">H246*I246</f>
        <v>0</v>
      </c>
      <c r="K246" s="32" t="str">
        <f aca="false">IF(J246="","",IF(J246&gt;=20,"CRITICAL",IF(J246&gt;=12,"HIGH",IF(J246&gt;=6,"MEDIUM","LOW"))))</f>
        <v>LOW</v>
      </c>
      <c r="L246" s="32"/>
      <c r="M246" s="32"/>
      <c r="N246" s="32" t="n">
        <f aca="false">IF(J246="","",MAX(1,J246-IFERROR(M246*2,0)))</f>
        <v>1</v>
      </c>
      <c r="O246" s="32" t="str">
        <f aca="false">IF(N246="","",IF(N246&gt;=16,"CRITICAL",IF(N246&gt;=8,"HIGH",IF(N246&gt;=4,"MEDIUM","LOW"))))</f>
        <v>LOW</v>
      </c>
      <c r="P246" s="32"/>
      <c r="Q246" s="32"/>
      <c r="R246" s="32"/>
      <c r="S246" s="32"/>
      <c r="T246" s="128" t="s">
        <v>1706</v>
      </c>
      <c r="U246" s="32"/>
      <c r="V246" s="32"/>
    </row>
    <row r="247" customFormat="false" ht="45" hidden="false" customHeight="true" outlineLevel="0" collapsed="false">
      <c r="A247" s="45" t="s">
        <v>2151</v>
      </c>
      <c r="B247" s="124" t="s">
        <v>867</v>
      </c>
      <c r="C247" s="23" t="s">
        <v>853</v>
      </c>
      <c r="D247" s="23" t="s">
        <v>2152</v>
      </c>
      <c r="E247" s="23"/>
      <c r="F247" s="23"/>
      <c r="G247" s="23"/>
      <c r="H247" s="23"/>
      <c r="I247" s="23"/>
      <c r="J247" s="23" t="n">
        <f aca="false">H247*I247</f>
        <v>0</v>
      </c>
      <c r="K247" s="23" t="str">
        <f aca="false">IF(J247="","",IF(J247&gt;=20,"CRITICAL",IF(J247&gt;=12,"HIGH",IF(J247&gt;=6,"MEDIUM","LOW"))))</f>
        <v>LOW</v>
      </c>
      <c r="L247" s="23"/>
      <c r="M247" s="23"/>
      <c r="N247" s="23" t="n">
        <f aca="false">IF(J247="","",MAX(1,J247-IFERROR(M247*2,0)))</f>
        <v>1</v>
      </c>
      <c r="O247" s="23" t="str">
        <f aca="false">IF(N247="","",IF(N247&gt;=16,"CRITICAL",IF(N247&gt;=8,"HIGH",IF(N247&gt;=4,"MEDIUM","LOW"))))</f>
        <v>LOW</v>
      </c>
      <c r="P247" s="23"/>
      <c r="Q247" s="23"/>
      <c r="R247" s="23"/>
      <c r="S247" s="23"/>
      <c r="T247" s="128" t="s">
        <v>1706</v>
      </c>
      <c r="U247" s="23"/>
      <c r="V247" s="23"/>
    </row>
    <row r="248" customFormat="false" ht="45" hidden="false" customHeight="true" outlineLevel="0" collapsed="false">
      <c r="A248" s="47" t="s">
        <v>2153</v>
      </c>
      <c r="B248" s="125" t="s">
        <v>870</v>
      </c>
      <c r="C248" s="32" t="s">
        <v>853</v>
      </c>
      <c r="D248" s="32" t="s">
        <v>2154</v>
      </c>
      <c r="E248" s="32"/>
      <c r="F248" s="32"/>
      <c r="G248" s="32"/>
      <c r="H248" s="32"/>
      <c r="I248" s="32"/>
      <c r="J248" s="32" t="n">
        <f aca="false">H248*I248</f>
        <v>0</v>
      </c>
      <c r="K248" s="32" t="str">
        <f aca="false">IF(J248="","",IF(J248&gt;=20,"CRITICAL",IF(J248&gt;=12,"HIGH",IF(J248&gt;=6,"MEDIUM","LOW"))))</f>
        <v>LOW</v>
      </c>
      <c r="L248" s="32"/>
      <c r="M248" s="32"/>
      <c r="N248" s="32" t="n">
        <f aca="false">IF(J248="","",MAX(1,J248-IFERROR(M248*2,0)))</f>
        <v>1</v>
      </c>
      <c r="O248" s="32" t="str">
        <f aca="false">IF(N248="","",IF(N248&gt;=16,"CRITICAL",IF(N248&gt;=8,"HIGH",IF(N248&gt;=4,"MEDIUM","LOW"))))</f>
        <v>LOW</v>
      </c>
      <c r="P248" s="32"/>
      <c r="Q248" s="32"/>
      <c r="R248" s="32"/>
      <c r="S248" s="32"/>
      <c r="T248" s="128" t="s">
        <v>1706</v>
      </c>
      <c r="U248" s="32"/>
      <c r="V248" s="32"/>
    </row>
    <row r="249" customFormat="false" ht="45" hidden="false" customHeight="true" outlineLevel="0" collapsed="false">
      <c r="A249" s="45" t="s">
        <v>2155</v>
      </c>
      <c r="B249" s="124" t="s">
        <v>873</v>
      </c>
      <c r="C249" s="23" t="s">
        <v>853</v>
      </c>
      <c r="D249" s="23" t="s">
        <v>2156</v>
      </c>
      <c r="E249" s="23"/>
      <c r="F249" s="23"/>
      <c r="G249" s="23"/>
      <c r="H249" s="23"/>
      <c r="I249" s="23"/>
      <c r="J249" s="23" t="n">
        <f aca="false">H249*I249</f>
        <v>0</v>
      </c>
      <c r="K249" s="23" t="str">
        <f aca="false">IF(J249="","",IF(J249&gt;=20,"CRITICAL",IF(J249&gt;=12,"HIGH",IF(J249&gt;=6,"MEDIUM","LOW"))))</f>
        <v>LOW</v>
      </c>
      <c r="L249" s="23"/>
      <c r="M249" s="23"/>
      <c r="N249" s="23" t="n">
        <f aca="false">IF(J249="","",MAX(1,J249-IFERROR(M249*2,0)))</f>
        <v>1</v>
      </c>
      <c r="O249" s="23" t="str">
        <f aca="false">IF(N249="","",IF(N249&gt;=16,"CRITICAL",IF(N249&gt;=8,"HIGH",IF(N249&gt;=4,"MEDIUM","LOW"))))</f>
        <v>LOW</v>
      </c>
      <c r="P249" s="23"/>
      <c r="Q249" s="23"/>
      <c r="R249" s="23"/>
      <c r="S249" s="23"/>
      <c r="T249" s="128" t="s">
        <v>1706</v>
      </c>
      <c r="U249" s="23"/>
      <c r="V249" s="23"/>
    </row>
    <row r="250" customFormat="false" ht="45" hidden="false" customHeight="true" outlineLevel="0" collapsed="false">
      <c r="A250" s="47" t="s">
        <v>2157</v>
      </c>
      <c r="B250" s="125" t="s">
        <v>876</v>
      </c>
      <c r="C250" s="32" t="s">
        <v>853</v>
      </c>
      <c r="D250" s="32" t="s">
        <v>2158</v>
      </c>
      <c r="E250" s="32"/>
      <c r="F250" s="32"/>
      <c r="G250" s="32"/>
      <c r="H250" s="32"/>
      <c r="I250" s="32"/>
      <c r="J250" s="32" t="n">
        <f aca="false">H250*I250</f>
        <v>0</v>
      </c>
      <c r="K250" s="32" t="str">
        <f aca="false">IF(J250="","",IF(J250&gt;=20,"CRITICAL",IF(J250&gt;=12,"HIGH",IF(J250&gt;=6,"MEDIUM","LOW"))))</f>
        <v>LOW</v>
      </c>
      <c r="L250" s="32"/>
      <c r="M250" s="32"/>
      <c r="N250" s="32" t="n">
        <f aca="false">IF(J250="","",MAX(1,J250-IFERROR(M250*2,0)))</f>
        <v>1</v>
      </c>
      <c r="O250" s="32" t="str">
        <f aca="false">IF(N250="","",IF(N250&gt;=16,"CRITICAL",IF(N250&gt;=8,"HIGH",IF(N250&gt;=4,"MEDIUM","LOW"))))</f>
        <v>LOW</v>
      </c>
      <c r="P250" s="32"/>
      <c r="Q250" s="32"/>
      <c r="R250" s="32"/>
      <c r="S250" s="32"/>
      <c r="T250" s="128" t="s">
        <v>1706</v>
      </c>
      <c r="U250" s="32"/>
      <c r="V250" s="32"/>
    </row>
    <row r="251" customFormat="false" ht="45" hidden="false" customHeight="true" outlineLevel="0" collapsed="false">
      <c r="A251" s="45" t="s">
        <v>2159</v>
      </c>
      <c r="B251" s="124" t="s">
        <v>879</v>
      </c>
      <c r="C251" s="23" t="s">
        <v>853</v>
      </c>
      <c r="D251" s="23" t="s">
        <v>2160</v>
      </c>
      <c r="E251" s="23"/>
      <c r="F251" s="23"/>
      <c r="G251" s="23"/>
      <c r="H251" s="23"/>
      <c r="I251" s="23"/>
      <c r="J251" s="23" t="n">
        <f aca="false">H251*I251</f>
        <v>0</v>
      </c>
      <c r="K251" s="23" t="str">
        <f aca="false">IF(J251="","",IF(J251&gt;=20,"CRITICAL",IF(J251&gt;=12,"HIGH",IF(J251&gt;=6,"MEDIUM","LOW"))))</f>
        <v>LOW</v>
      </c>
      <c r="L251" s="23"/>
      <c r="M251" s="23"/>
      <c r="N251" s="23" t="n">
        <f aca="false">IF(J251="","",MAX(1,J251-IFERROR(M251*2,0)))</f>
        <v>1</v>
      </c>
      <c r="O251" s="23" t="str">
        <f aca="false">IF(N251="","",IF(N251&gt;=16,"CRITICAL",IF(N251&gt;=8,"HIGH",IF(N251&gt;=4,"MEDIUM","LOW"))))</f>
        <v>LOW</v>
      </c>
      <c r="P251" s="23"/>
      <c r="Q251" s="23"/>
      <c r="R251" s="23"/>
      <c r="S251" s="23"/>
      <c r="T251" s="128" t="s">
        <v>1706</v>
      </c>
      <c r="U251" s="23"/>
      <c r="V251" s="23"/>
    </row>
    <row r="252" customFormat="false" ht="45" hidden="false" customHeight="true" outlineLevel="0" collapsed="false">
      <c r="A252" s="47" t="s">
        <v>2161</v>
      </c>
      <c r="B252" s="125" t="s">
        <v>882</v>
      </c>
      <c r="C252" s="32" t="s">
        <v>853</v>
      </c>
      <c r="D252" s="32" t="s">
        <v>2162</v>
      </c>
      <c r="E252" s="32"/>
      <c r="F252" s="32"/>
      <c r="G252" s="32"/>
      <c r="H252" s="32"/>
      <c r="I252" s="32"/>
      <c r="J252" s="32" t="n">
        <f aca="false">H252*I252</f>
        <v>0</v>
      </c>
      <c r="K252" s="32" t="str">
        <f aca="false">IF(J252="","",IF(J252&gt;=20,"CRITICAL",IF(J252&gt;=12,"HIGH",IF(J252&gt;=6,"MEDIUM","LOW"))))</f>
        <v>LOW</v>
      </c>
      <c r="L252" s="32"/>
      <c r="M252" s="32"/>
      <c r="N252" s="32" t="n">
        <f aca="false">IF(J252="","",MAX(1,J252-IFERROR(M252*2,0)))</f>
        <v>1</v>
      </c>
      <c r="O252" s="32" t="str">
        <f aca="false">IF(N252="","",IF(N252&gt;=16,"CRITICAL",IF(N252&gt;=8,"HIGH",IF(N252&gt;=4,"MEDIUM","LOW"))))</f>
        <v>LOW</v>
      </c>
      <c r="P252" s="32"/>
      <c r="Q252" s="32"/>
      <c r="R252" s="32"/>
      <c r="S252" s="32"/>
      <c r="T252" s="128" t="s">
        <v>1706</v>
      </c>
      <c r="U252" s="32"/>
      <c r="V252" s="32"/>
    </row>
    <row r="253" customFormat="false" ht="45" hidden="false" customHeight="true" outlineLevel="0" collapsed="false">
      <c r="A253" s="45" t="s">
        <v>2163</v>
      </c>
      <c r="B253" s="124" t="s">
        <v>885</v>
      </c>
      <c r="C253" s="23" t="s">
        <v>853</v>
      </c>
      <c r="D253" s="23" t="s">
        <v>2164</v>
      </c>
      <c r="E253" s="23"/>
      <c r="F253" s="23"/>
      <c r="G253" s="23"/>
      <c r="H253" s="23"/>
      <c r="I253" s="23"/>
      <c r="J253" s="23" t="n">
        <f aca="false">H253*I253</f>
        <v>0</v>
      </c>
      <c r="K253" s="23" t="str">
        <f aca="false">IF(J253="","",IF(J253&gt;=20,"CRITICAL",IF(J253&gt;=12,"HIGH",IF(J253&gt;=6,"MEDIUM","LOW"))))</f>
        <v>LOW</v>
      </c>
      <c r="L253" s="23"/>
      <c r="M253" s="23"/>
      <c r="N253" s="23" t="n">
        <f aca="false">IF(J253="","",MAX(1,J253-IFERROR(M253*2,0)))</f>
        <v>1</v>
      </c>
      <c r="O253" s="23" t="str">
        <f aca="false">IF(N253="","",IF(N253&gt;=16,"CRITICAL",IF(N253&gt;=8,"HIGH",IF(N253&gt;=4,"MEDIUM","LOW"))))</f>
        <v>LOW</v>
      </c>
      <c r="P253" s="23"/>
      <c r="Q253" s="23"/>
      <c r="R253" s="23"/>
      <c r="S253" s="23"/>
      <c r="T253" s="128" t="s">
        <v>1706</v>
      </c>
      <c r="U253" s="23"/>
      <c r="V253" s="23"/>
    </row>
    <row r="254" customFormat="false" ht="45" hidden="false" customHeight="true" outlineLevel="0" collapsed="false">
      <c r="A254" s="47" t="s">
        <v>2165</v>
      </c>
      <c r="B254" s="125" t="s">
        <v>888</v>
      </c>
      <c r="C254" s="32" t="s">
        <v>853</v>
      </c>
      <c r="D254" s="32" t="s">
        <v>2166</v>
      </c>
      <c r="E254" s="32"/>
      <c r="F254" s="32"/>
      <c r="G254" s="32"/>
      <c r="H254" s="32"/>
      <c r="I254" s="32"/>
      <c r="J254" s="32" t="n">
        <f aca="false">H254*I254</f>
        <v>0</v>
      </c>
      <c r="K254" s="32" t="str">
        <f aca="false">IF(J254="","",IF(J254&gt;=20,"CRITICAL",IF(J254&gt;=12,"HIGH",IF(J254&gt;=6,"MEDIUM","LOW"))))</f>
        <v>LOW</v>
      </c>
      <c r="L254" s="32"/>
      <c r="M254" s="32"/>
      <c r="N254" s="32" t="n">
        <f aca="false">IF(J254="","",MAX(1,J254-IFERROR(M254*2,0)))</f>
        <v>1</v>
      </c>
      <c r="O254" s="32" t="str">
        <f aca="false">IF(N254="","",IF(N254&gt;=16,"CRITICAL",IF(N254&gt;=8,"HIGH",IF(N254&gt;=4,"MEDIUM","LOW"))))</f>
        <v>LOW</v>
      </c>
      <c r="P254" s="32"/>
      <c r="Q254" s="32"/>
      <c r="R254" s="32"/>
      <c r="S254" s="32"/>
      <c r="T254" s="128" t="s">
        <v>1706</v>
      </c>
      <c r="U254" s="32"/>
      <c r="V254" s="32"/>
    </row>
    <row r="255" customFormat="false" ht="45" hidden="false" customHeight="true" outlineLevel="0" collapsed="false">
      <c r="A255" s="45" t="s">
        <v>2167</v>
      </c>
      <c r="B255" s="124" t="s">
        <v>891</v>
      </c>
      <c r="C255" s="23" t="s">
        <v>853</v>
      </c>
      <c r="D255" s="23" t="s">
        <v>2168</v>
      </c>
      <c r="E255" s="23"/>
      <c r="F255" s="23"/>
      <c r="G255" s="23"/>
      <c r="H255" s="23"/>
      <c r="I255" s="23"/>
      <c r="J255" s="23" t="n">
        <f aca="false">H255*I255</f>
        <v>0</v>
      </c>
      <c r="K255" s="23" t="str">
        <f aca="false">IF(J255="","",IF(J255&gt;=20,"CRITICAL",IF(J255&gt;=12,"HIGH",IF(J255&gt;=6,"MEDIUM","LOW"))))</f>
        <v>LOW</v>
      </c>
      <c r="L255" s="23"/>
      <c r="M255" s="23"/>
      <c r="N255" s="23" t="n">
        <f aca="false">IF(J255="","",MAX(1,J255-IFERROR(M255*2,0)))</f>
        <v>1</v>
      </c>
      <c r="O255" s="23" t="str">
        <f aca="false">IF(N255="","",IF(N255&gt;=16,"CRITICAL",IF(N255&gt;=8,"HIGH",IF(N255&gt;=4,"MEDIUM","LOW"))))</f>
        <v>LOW</v>
      </c>
      <c r="P255" s="23"/>
      <c r="Q255" s="23"/>
      <c r="R255" s="23"/>
      <c r="S255" s="23"/>
      <c r="T255" s="128" t="s">
        <v>1706</v>
      </c>
      <c r="U255" s="23"/>
      <c r="V255" s="23"/>
    </row>
    <row r="256" customFormat="false" ht="45" hidden="false" customHeight="true" outlineLevel="0" collapsed="false">
      <c r="A256" s="47" t="s">
        <v>2169</v>
      </c>
      <c r="B256" s="125" t="s">
        <v>894</v>
      </c>
      <c r="C256" s="32" t="s">
        <v>853</v>
      </c>
      <c r="D256" s="32" t="s">
        <v>2170</v>
      </c>
      <c r="E256" s="32"/>
      <c r="F256" s="32"/>
      <c r="G256" s="32"/>
      <c r="H256" s="32"/>
      <c r="I256" s="32"/>
      <c r="J256" s="32" t="n">
        <f aca="false">H256*I256</f>
        <v>0</v>
      </c>
      <c r="K256" s="32" t="str">
        <f aca="false">IF(J256="","",IF(J256&gt;=20,"CRITICAL",IF(J256&gt;=12,"HIGH",IF(J256&gt;=6,"MEDIUM","LOW"))))</f>
        <v>LOW</v>
      </c>
      <c r="L256" s="32"/>
      <c r="M256" s="32"/>
      <c r="N256" s="32" t="n">
        <f aca="false">IF(J256="","",MAX(1,J256-IFERROR(M256*2,0)))</f>
        <v>1</v>
      </c>
      <c r="O256" s="32" t="str">
        <f aca="false">IF(N256="","",IF(N256&gt;=16,"CRITICAL",IF(N256&gt;=8,"HIGH",IF(N256&gt;=4,"MEDIUM","LOW"))))</f>
        <v>LOW</v>
      </c>
      <c r="P256" s="32"/>
      <c r="Q256" s="32"/>
      <c r="R256" s="32"/>
      <c r="S256" s="32"/>
      <c r="T256" s="128" t="s">
        <v>1706</v>
      </c>
      <c r="U256" s="32"/>
      <c r="V256" s="32"/>
    </row>
    <row r="257" customFormat="false" ht="45" hidden="false" customHeight="true" outlineLevel="0" collapsed="false">
      <c r="A257" s="45" t="s">
        <v>2171</v>
      </c>
      <c r="B257" s="124" t="s">
        <v>897</v>
      </c>
      <c r="C257" s="23" t="s">
        <v>853</v>
      </c>
      <c r="D257" s="23" t="s">
        <v>2172</v>
      </c>
      <c r="E257" s="23"/>
      <c r="F257" s="23"/>
      <c r="G257" s="23"/>
      <c r="H257" s="23"/>
      <c r="I257" s="23"/>
      <c r="J257" s="23" t="n">
        <f aca="false">H257*I257</f>
        <v>0</v>
      </c>
      <c r="K257" s="23" t="str">
        <f aca="false">IF(J257="","",IF(J257&gt;=20,"CRITICAL",IF(J257&gt;=12,"HIGH",IF(J257&gt;=6,"MEDIUM","LOW"))))</f>
        <v>LOW</v>
      </c>
      <c r="L257" s="23"/>
      <c r="M257" s="23"/>
      <c r="N257" s="23" t="n">
        <f aca="false">IF(J257="","",MAX(1,J257-IFERROR(M257*2,0)))</f>
        <v>1</v>
      </c>
      <c r="O257" s="23" t="str">
        <f aca="false">IF(N257="","",IF(N257&gt;=16,"CRITICAL",IF(N257&gt;=8,"HIGH",IF(N257&gt;=4,"MEDIUM","LOW"))))</f>
        <v>LOW</v>
      </c>
      <c r="P257" s="23"/>
      <c r="Q257" s="23"/>
      <c r="R257" s="23"/>
      <c r="S257" s="23"/>
      <c r="T257" s="128" t="s">
        <v>1706</v>
      </c>
      <c r="U257" s="23"/>
      <c r="V257" s="23"/>
    </row>
    <row r="258" customFormat="false" ht="45" hidden="false" customHeight="true" outlineLevel="0" collapsed="false">
      <c r="A258" s="47" t="s">
        <v>2173</v>
      </c>
      <c r="B258" s="125" t="s">
        <v>900</v>
      </c>
      <c r="C258" s="32" t="s">
        <v>853</v>
      </c>
      <c r="D258" s="32" t="s">
        <v>2174</v>
      </c>
      <c r="E258" s="32"/>
      <c r="F258" s="32"/>
      <c r="G258" s="32"/>
      <c r="H258" s="32"/>
      <c r="I258" s="32"/>
      <c r="J258" s="32" t="n">
        <f aca="false">H258*I258</f>
        <v>0</v>
      </c>
      <c r="K258" s="32" t="str">
        <f aca="false">IF(J258="","",IF(J258&gt;=20,"CRITICAL",IF(J258&gt;=12,"HIGH",IF(J258&gt;=6,"MEDIUM","LOW"))))</f>
        <v>LOW</v>
      </c>
      <c r="L258" s="32"/>
      <c r="M258" s="32"/>
      <c r="N258" s="32" t="n">
        <f aca="false">IF(J258="","",MAX(1,J258-IFERROR(M258*2,0)))</f>
        <v>1</v>
      </c>
      <c r="O258" s="32" t="str">
        <f aca="false">IF(N258="","",IF(N258&gt;=16,"CRITICAL",IF(N258&gt;=8,"HIGH",IF(N258&gt;=4,"MEDIUM","LOW"))))</f>
        <v>LOW</v>
      </c>
      <c r="P258" s="32"/>
      <c r="Q258" s="32"/>
      <c r="R258" s="32"/>
      <c r="S258" s="32"/>
      <c r="T258" s="128" t="s">
        <v>1706</v>
      </c>
      <c r="U258" s="32"/>
      <c r="V258" s="32"/>
    </row>
    <row r="259" customFormat="false" ht="45" hidden="false" customHeight="true" outlineLevel="0" collapsed="false">
      <c r="A259" s="45" t="s">
        <v>2175</v>
      </c>
      <c r="B259" s="124" t="s">
        <v>903</v>
      </c>
      <c r="C259" s="23" t="s">
        <v>853</v>
      </c>
      <c r="D259" s="23" t="s">
        <v>2176</v>
      </c>
      <c r="E259" s="23"/>
      <c r="F259" s="23"/>
      <c r="G259" s="23"/>
      <c r="H259" s="23"/>
      <c r="I259" s="23"/>
      <c r="J259" s="23" t="n">
        <f aca="false">H259*I259</f>
        <v>0</v>
      </c>
      <c r="K259" s="23" t="str">
        <f aca="false">IF(J259="","",IF(J259&gt;=20,"CRITICAL",IF(J259&gt;=12,"HIGH",IF(J259&gt;=6,"MEDIUM","LOW"))))</f>
        <v>LOW</v>
      </c>
      <c r="L259" s="23"/>
      <c r="M259" s="23"/>
      <c r="N259" s="23" t="n">
        <f aca="false">IF(J259="","",MAX(1,J259-IFERROR(M259*2,0)))</f>
        <v>1</v>
      </c>
      <c r="O259" s="23" t="str">
        <f aca="false">IF(N259="","",IF(N259&gt;=16,"CRITICAL",IF(N259&gt;=8,"HIGH",IF(N259&gt;=4,"MEDIUM","LOW"))))</f>
        <v>LOW</v>
      </c>
      <c r="P259" s="23"/>
      <c r="Q259" s="23"/>
      <c r="R259" s="23"/>
      <c r="S259" s="23"/>
      <c r="T259" s="128" t="s">
        <v>1706</v>
      </c>
      <c r="U259" s="23"/>
      <c r="V259" s="23"/>
    </row>
    <row r="260" customFormat="false" ht="45" hidden="false" customHeight="true" outlineLevel="0" collapsed="false">
      <c r="A260" s="47" t="s">
        <v>2177</v>
      </c>
      <c r="B260" s="125" t="s">
        <v>906</v>
      </c>
      <c r="C260" s="32" t="s">
        <v>853</v>
      </c>
      <c r="D260" s="32" t="s">
        <v>2178</v>
      </c>
      <c r="E260" s="32"/>
      <c r="F260" s="32"/>
      <c r="G260" s="32"/>
      <c r="H260" s="32"/>
      <c r="I260" s="32"/>
      <c r="J260" s="32" t="n">
        <f aca="false">H260*I260</f>
        <v>0</v>
      </c>
      <c r="K260" s="32" t="str">
        <f aca="false">IF(J260="","",IF(J260&gt;=20,"CRITICAL",IF(J260&gt;=12,"HIGH",IF(J260&gt;=6,"MEDIUM","LOW"))))</f>
        <v>LOW</v>
      </c>
      <c r="L260" s="32"/>
      <c r="M260" s="32"/>
      <c r="N260" s="32" t="n">
        <f aca="false">IF(J260="","",MAX(1,J260-IFERROR(M260*2,0)))</f>
        <v>1</v>
      </c>
      <c r="O260" s="32" t="str">
        <f aca="false">IF(N260="","",IF(N260&gt;=16,"CRITICAL",IF(N260&gt;=8,"HIGH",IF(N260&gt;=4,"MEDIUM","LOW"))))</f>
        <v>LOW</v>
      </c>
      <c r="P260" s="32"/>
      <c r="Q260" s="32"/>
      <c r="R260" s="32"/>
      <c r="S260" s="32"/>
      <c r="T260" s="128" t="s">
        <v>1706</v>
      </c>
      <c r="U260" s="32"/>
      <c r="V260" s="32"/>
    </row>
    <row r="261" customFormat="false" ht="45" hidden="false" customHeight="true" outlineLevel="0" collapsed="false">
      <c r="A261" s="45" t="s">
        <v>2179</v>
      </c>
      <c r="B261" s="124" t="s">
        <v>909</v>
      </c>
      <c r="C261" s="23" t="s">
        <v>853</v>
      </c>
      <c r="D261" s="23" t="s">
        <v>2180</v>
      </c>
      <c r="E261" s="23"/>
      <c r="F261" s="23"/>
      <c r="G261" s="23"/>
      <c r="H261" s="23"/>
      <c r="I261" s="23"/>
      <c r="J261" s="23" t="n">
        <f aca="false">H261*I261</f>
        <v>0</v>
      </c>
      <c r="K261" s="23" t="str">
        <f aca="false">IF(J261="","",IF(J261&gt;=20,"CRITICAL",IF(J261&gt;=12,"HIGH",IF(J261&gt;=6,"MEDIUM","LOW"))))</f>
        <v>LOW</v>
      </c>
      <c r="L261" s="23"/>
      <c r="M261" s="23"/>
      <c r="N261" s="23" t="n">
        <f aca="false">IF(J261="","",MAX(1,J261-IFERROR(M261*2,0)))</f>
        <v>1</v>
      </c>
      <c r="O261" s="23" t="str">
        <f aca="false">IF(N261="","",IF(N261&gt;=16,"CRITICAL",IF(N261&gt;=8,"HIGH",IF(N261&gt;=4,"MEDIUM","LOW"))))</f>
        <v>LOW</v>
      </c>
      <c r="P261" s="23"/>
      <c r="Q261" s="23"/>
      <c r="R261" s="23"/>
      <c r="S261" s="23"/>
      <c r="T261" s="128" t="s">
        <v>1706</v>
      </c>
      <c r="U261" s="23"/>
      <c r="V261" s="23"/>
    </row>
    <row r="262" customFormat="false" ht="45" hidden="false" customHeight="true" outlineLevel="0" collapsed="false">
      <c r="A262" s="47" t="s">
        <v>2181</v>
      </c>
      <c r="B262" s="125" t="s">
        <v>912</v>
      </c>
      <c r="C262" s="32" t="s">
        <v>853</v>
      </c>
      <c r="D262" s="32" t="s">
        <v>2182</v>
      </c>
      <c r="E262" s="32"/>
      <c r="F262" s="32"/>
      <c r="G262" s="32"/>
      <c r="H262" s="32"/>
      <c r="I262" s="32"/>
      <c r="J262" s="32" t="n">
        <f aca="false">H262*I262</f>
        <v>0</v>
      </c>
      <c r="K262" s="32" t="str">
        <f aca="false">IF(J262="","",IF(J262&gt;=20,"CRITICAL",IF(J262&gt;=12,"HIGH",IF(J262&gt;=6,"MEDIUM","LOW"))))</f>
        <v>LOW</v>
      </c>
      <c r="L262" s="32"/>
      <c r="M262" s="32"/>
      <c r="N262" s="32" t="n">
        <f aca="false">IF(J262="","",MAX(1,J262-IFERROR(M262*2,0)))</f>
        <v>1</v>
      </c>
      <c r="O262" s="32" t="str">
        <f aca="false">IF(N262="","",IF(N262&gt;=16,"CRITICAL",IF(N262&gt;=8,"HIGH",IF(N262&gt;=4,"MEDIUM","LOW"))))</f>
        <v>LOW</v>
      </c>
      <c r="P262" s="32"/>
      <c r="Q262" s="32"/>
      <c r="R262" s="32"/>
      <c r="S262" s="32"/>
      <c r="T262" s="128" t="s">
        <v>1706</v>
      </c>
      <c r="U262" s="32"/>
      <c r="V262" s="32"/>
    </row>
    <row r="263" customFormat="false" ht="45" hidden="false" customHeight="true" outlineLevel="0" collapsed="false">
      <c r="A263" s="45" t="s">
        <v>2183</v>
      </c>
      <c r="B263" s="124" t="s">
        <v>915</v>
      </c>
      <c r="C263" s="23" t="s">
        <v>853</v>
      </c>
      <c r="D263" s="23" t="s">
        <v>2184</v>
      </c>
      <c r="E263" s="23"/>
      <c r="F263" s="23"/>
      <c r="G263" s="23"/>
      <c r="H263" s="23"/>
      <c r="I263" s="23"/>
      <c r="J263" s="23" t="n">
        <f aca="false">H263*I263</f>
        <v>0</v>
      </c>
      <c r="K263" s="23" t="str">
        <f aca="false">IF(J263="","",IF(J263&gt;=20,"CRITICAL",IF(J263&gt;=12,"HIGH",IF(J263&gt;=6,"MEDIUM","LOW"))))</f>
        <v>LOW</v>
      </c>
      <c r="L263" s="23"/>
      <c r="M263" s="23"/>
      <c r="N263" s="23" t="n">
        <f aca="false">IF(J263="","",MAX(1,J263-IFERROR(M263*2,0)))</f>
        <v>1</v>
      </c>
      <c r="O263" s="23" t="str">
        <f aca="false">IF(N263="","",IF(N263&gt;=16,"CRITICAL",IF(N263&gt;=8,"HIGH",IF(N263&gt;=4,"MEDIUM","LOW"))))</f>
        <v>LOW</v>
      </c>
      <c r="P263" s="23"/>
      <c r="Q263" s="23"/>
      <c r="R263" s="23"/>
      <c r="S263" s="23"/>
      <c r="T263" s="128" t="s">
        <v>1706</v>
      </c>
      <c r="U263" s="23"/>
      <c r="V263" s="23"/>
    </row>
    <row r="264" customFormat="false" ht="45" hidden="false" customHeight="true" outlineLevel="0" collapsed="false">
      <c r="A264" s="47" t="s">
        <v>2185</v>
      </c>
      <c r="B264" s="125" t="s">
        <v>919</v>
      </c>
      <c r="C264" s="32" t="s">
        <v>853</v>
      </c>
      <c r="D264" s="32" t="s">
        <v>2186</v>
      </c>
      <c r="E264" s="32"/>
      <c r="F264" s="32"/>
      <c r="G264" s="32"/>
      <c r="H264" s="32"/>
      <c r="I264" s="32"/>
      <c r="J264" s="32" t="n">
        <f aca="false">H264*I264</f>
        <v>0</v>
      </c>
      <c r="K264" s="32" t="str">
        <f aca="false">IF(J264="","",IF(J264&gt;=20,"CRITICAL",IF(J264&gt;=12,"HIGH",IF(J264&gt;=6,"MEDIUM","LOW"))))</f>
        <v>LOW</v>
      </c>
      <c r="L264" s="32"/>
      <c r="M264" s="32"/>
      <c r="N264" s="32" t="n">
        <f aca="false">IF(J264="","",MAX(1,J264-IFERROR(M264*2,0)))</f>
        <v>1</v>
      </c>
      <c r="O264" s="32" t="str">
        <f aca="false">IF(N264="","",IF(N264&gt;=16,"CRITICAL",IF(N264&gt;=8,"HIGH",IF(N264&gt;=4,"MEDIUM","LOW"))))</f>
        <v>LOW</v>
      </c>
      <c r="P264" s="32"/>
      <c r="Q264" s="32"/>
      <c r="R264" s="32"/>
      <c r="S264" s="32"/>
      <c r="T264" s="128" t="s">
        <v>1706</v>
      </c>
      <c r="U264" s="32"/>
      <c r="V264" s="32"/>
    </row>
    <row r="265" customFormat="false" ht="45" hidden="false" customHeight="true" outlineLevel="0" collapsed="false">
      <c r="A265" s="45" t="s">
        <v>2187</v>
      </c>
      <c r="B265" s="124" t="s">
        <v>922</v>
      </c>
      <c r="C265" s="23" t="s">
        <v>853</v>
      </c>
      <c r="D265" s="23" t="s">
        <v>2188</v>
      </c>
      <c r="E265" s="23"/>
      <c r="F265" s="23"/>
      <c r="G265" s="23"/>
      <c r="H265" s="23"/>
      <c r="I265" s="23"/>
      <c r="J265" s="23" t="n">
        <f aca="false">H265*I265</f>
        <v>0</v>
      </c>
      <c r="K265" s="23" t="str">
        <f aca="false">IF(J265="","",IF(J265&gt;=20,"CRITICAL",IF(J265&gt;=12,"HIGH",IF(J265&gt;=6,"MEDIUM","LOW"))))</f>
        <v>LOW</v>
      </c>
      <c r="L265" s="23"/>
      <c r="M265" s="23"/>
      <c r="N265" s="23" t="n">
        <f aca="false">IF(J265="","",MAX(1,J265-IFERROR(M265*2,0)))</f>
        <v>1</v>
      </c>
      <c r="O265" s="23" t="str">
        <f aca="false">IF(N265="","",IF(N265&gt;=16,"CRITICAL",IF(N265&gt;=8,"HIGH",IF(N265&gt;=4,"MEDIUM","LOW"))))</f>
        <v>LOW</v>
      </c>
      <c r="P265" s="23"/>
      <c r="Q265" s="23"/>
      <c r="R265" s="23"/>
      <c r="S265" s="23"/>
      <c r="T265" s="128" t="s">
        <v>1706</v>
      </c>
      <c r="U265" s="23"/>
      <c r="V265" s="23"/>
    </row>
    <row r="266" customFormat="false" ht="45" hidden="false" customHeight="true" outlineLevel="0" collapsed="false">
      <c r="A266" s="47" t="s">
        <v>2189</v>
      </c>
      <c r="B266" s="125" t="s">
        <v>925</v>
      </c>
      <c r="C266" s="32" t="s">
        <v>853</v>
      </c>
      <c r="D266" s="32" t="s">
        <v>2190</v>
      </c>
      <c r="E266" s="32"/>
      <c r="F266" s="32"/>
      <c r="G266" s="32"/>
      <c r="H266" s="32"/>
      <c r="I266" s="32"/>
      <c r="J266" s="32" t="n">
        <f aca="false">H266*I266</f>
        <v>0</v>
      </c>
      <c r="K266" s="32" t="str">
        <f aca="false">IF(J266="","",IF(J266&gt;=20,"CRITICAL",IF(J266&gt;=12,"HIGH",IF(J266&gt;=6,"MEDIUM","LOW"))))</f>
        <v>LOW</v>
      </c>
      <c r="L266" s="32"/>
      <c r="M266" s="32"/>
      <c r="N266" s="32" t="n">
        <f aca="false">IF(J266="","",MAX(1,J266-IFERROR(M266*2,0)))</f>
        <v>1</v>
      </c>
      <c r="O266" s="32" t="str">
        <f aca="false">IF(N266="","",IF(N266&gt;=16,"CRITICAL",IF(N266&gt;=8,"HIGH",IF(N266&gt;=4,"MEDIUM","LOW"))))</f>
        <v>LOW</v>
      </c>
      <c r="P266" s="32"/>
      <c r="Q266" s="32"/>
      <c r="R266" s="32"/>
      <c r="S266" s="32"/>
      <c r="T266" s="128" t="s">
        <v>1706</v>
      </c>
      <c r="U266" s="32"/>
      <c r="V266" s="32"/>
    </row>
    <row r="267" customFormat="false" ht="45" hidden="false" customHeight="true" outlineLevel="0" collapsed="false">
      <c r="A267" s="45" t="s">
        <v>2191</v>
      </c>
      <c r="B267" s="124" t="s">
        <v>928</v>
      </c>
      <c r="C267" s="23" t="s">
        <v>853</v>
      </c>
      <c r="D267" s="23" t="s">
        <v>2192</v>
      </c>
      <c r="E267" s="23"/>
      <c r="F267" s="23"/>
      <c r="G267" s="23"/>
      <c r="H267" s="23"/>
      <c r="I267" s="23"/>
      <c r="J267" s="23" t="n">
        <f aca="false">H267*I267</f>
        <v>0</v>
      </c>
      <c r="K267" s="23" t="str">
        <f aca="false">IF(J267="","",IF(J267&gt;=20,"CRITICAL",IF(J267&gt;=12,"HIGH",IF(J267&gt;=6,"MEDIUM","LOW"))))</f>
        <v>LOW</v>
      </c>
      <c r="L267" s="23"/>
      <c r="M267" s="23"/>
      <c r="N267" s="23" t="n">
        <f aca="false">IF(J267="","",MAX(1,J267-IFERROR(M267*2,0)))</f>
        <v>1</v>
      </c>
      <c r="O267" s="23" t="str">
        <f aca="false">IF(N267="","",IF(N267&gt;=16,"CRITICAL",IF(N267&gt;=8,"HIGH",IF(N267&gt;=4,"MEDIUM","LOW"))))</f>
        <v>LOW</v>
      </c>
      <c r="P267" s="23"/>
      <c r="Q267" s="23"/>
      <c r="R267" s="23"/>
      <c r="S267" s="23"/>
      <c r="T267" s="128" t="s">
        <v>1706</v>
      </c>
      <c r="U267" s="23"/>
      <c r="V267" s="23"/>
    </row>
    <row r="268" customFormat="false" ht="45" hidden="false" customHeight="true" outlineLevel="0" collapsed="false">
      <c r="A268" s="47" t="s">
        <v>2193</v>
      </c>
      <c r="B268" s="125" t="s">
        <v>932</v>
      </c>
      <c r="C268" s="32" t="s">
        <v>853</v>
      </c>
      <c r="D268" s="32" t="s">
        <v>933</v>
      </c>
      <c r="E268" s="32"/>
      <c r="F268" s="32"/>
      <c r="G268" s="32"/>
      <c r="H268" s="32"/>
      <c r="I268" s="32"/>
      <c r="J268" s="32" t="n">
        <f aca="false">H268*I268</f>
        <v>0</v>
      </c>
      <c r="K268" s="32" t="str">
        <f aca="false">IF(J268="","",IF(J268&gt;=20,"CRITICAL",IF(J268&gt;=12,"HIGH",IF(J268&gt;=6,"MEDIUM","LOW"))))</f>
        <v>LOW</v>
      </c>
      <c r="L268" s="32"/>
      <c r="M268" s="32"/>
      <c r="N268" s="32" t="n">
        <f aca="false">IF(J268="","",MAX(1,J268-IFERROR(M268*2,0)))</f>
        <v>1</v>
      </c>
      <c r="O268" s="32" t="str">
        <f aca="false">IF(N268="","",IF(N268&gt;=16,"CRITICAL",IF(N268&gt;=8,"HIGH",IF(N268&gt;=4,"MEDIUM","LOW"))))</f>
        <v>LOW</v>
      </c>
      <c r="P268" s="32"/>
      <c r="Q268" s="32"/>
      <c r="R268" s="32"/>
      <c r="S268" s="32"/>
      <c r="T268" s="128" t="s">
        <v>1706</v>
      </c>
      <c r="U268" s="32"/>
      <c r="V268" s="32"/>
    </row>
    <row r="269" customFormat="false" ht="45" hidden="false" customHeight="true" outlineLevel="0" collapsed="false">
      <c r="A269" s="45" t="s">
        <v>2194</v>
      </c>
      <c r="B269" s="124" t="s">
        <v>936</v>
      </c>
      <c r="C269" s="23" t="s">
        <v>853</v>
      </c>
      <c r="D269" s="23" t="s">
        <v>2195</v>
      </c>
      <c r="E269" s="23"/>
      <c r="F269" s="23"/>
      <c r="G269" s="23"/>
      <c r="H269" s="23"/>
      <c r="I269" s="23"/>
      <c r="J269" s="23" t="n">
        <f aca="false">H269*I269</f>
        <v>0</v>
      </c>
      <c r="K269" s="23" t="str">
        <f aca="false">IF(J269="","",IF(J269&gt;=20,"CRITICAL",IF(J269&gt;=12,"HIGH",IF(J269&gt;=6,"MEDIUM","LOW"))))</f>
        <v>LOW</v>
      </c>
      <c r="L269" s="23"/>
      <c r="M269" s="23"/>
      <c r="N269" s="23" t="n">
        <f aca="false">IF(J269="","",MAX(1,J269-IFERROR(M269*2,0)))</f>
        <v>1</v>
      </c>
      <c r="O269" s="23" t="str">
        <f aca="false">IF(N269="","",IF(N269&gt;=16,"CRITICAL",IF(N269&gt;=8,"HIGH",IF(N269&gt;=4,"MEDIUM","LOW"))))</f>
        <v>LOW</v>
      </c>
      <c r="P269" s="23"/>
      <c r="Q269" s="23"/>
      <c r="R269" s="23"/>
      <c r="S269" s="23"/>
      <c r="T269" s="128" t="s">
        <v>1706</v>
      </c>
      <c r="U269" s="23"/>
      <c r="V269" s="23"/>
    </row>
    <row r="270" customFormat="false" ht="45" hidden="false" customHeight="true" outlineLevel="0" collapsed="false">
      <c r="A270" s="47" t="s">
        <v>2196</v>
      </c>
      <c r="B270" s="126" t="s">
        <v>940</v>
      </c>
      <c r="C270" s="32" t="s">
        <v>939</v>
      </c>
      <c r="D270" s="32" t="s">
        <v>2197</v>
      </c>
      <c r="E270" s="32"/>
      <c r="F270" s="32"/>
      <c r="G270" s="32"/>
      <c r="H270" s="32"/>
      <c r="I270" s="32"/>
      <c r="J270" s="32" t="n">
        <f aca="false">H270*I270</f>
        <v>0</v>
      </c>
      <c r="K270" s="32" t="str">
        <f aca="false">IF(J270="","",IF(J270&gt;=20,"CRITICAL",IF(J270&gt;=12,"HIGH",IF(J270&gt;=6,"MEDIUM","LOW"))))</f>
        <v>LOW</v>
      </c>
      <c r="L270" s="32"/>
      <c r="M270" s="32"/>
      <c r="N270" s="32" t="n">
        <f aca="false">IF(J270="","",MAX(1,J270-IFERROR(M270*2,0)))</f>
        <v>1</v>
      </c>
      <c r="O270" s="32" t="str">
        <f aca="false">IF(N270="","",IF(N270&gt;=16,"CRITICAL",IF(N270&gt;=8,"HIGH",IF(N270&gt;=4,"MEDIUM","LOW"))))</f>
        <v>LOW</v>
      </c>
      <c r="P270" s="32"/>
      <c r="Q270" s="32"/>
      <c r="R270" s="32"/>
      <c r="S270" s="32"/>
      <c r="T270" s="128" t="s">
        <v>1706</v>
      </c>
      <c r="U270" s="32"/>
      <c r="V270" s="32"/>
    </row>
    <row r="271" customFormat="false" ht="45" hidden="false" customHeight="true" outlineLevel="0" collapsed="false">
      <c r="A271" s="45" t="s">
        <v>2198</v>
      </c>
      <c r="B271" s="127" t="s">
        <v>944</v>
      </c>
      <c r="C271" s="23" t="s">
        <v>939</v>
      </c>
      <c r="D271" s="23" t="s">
        <v>2199</v>
      </c>
      <c r="E271" s="23"/>
      <c r="F271" s="23"/>
      <c r="G271" s="23"/>
      <c r="H271" s="23"/>
      <c r="I271" s="23"/>
      <c r="J271" s="23" t="n">
        <f aca="false">H271*I271</f>
        <v>0</v>
      </c>
      <c r="K271" s="23" t="str">
        <f aca="false">IF(J271="","",IF(J271&gt;=20,"CRITICAL",IF(J271&gt;=12,"HIGH",IF(J271&gt;=6,"MEDIUM","LOW"))))</f>
        <v>LOW</v>
      </c>
      <c r="L271" s="23"/>
      <c r="M271" s="23"/>
      <c r="N271" s="23" t="n">
        <f aca="false">IF(J271="","",MAX(1,J271-IFERROR(M271*2,0)))</f>
        <v>1</v>
      </c>
      <c r="O271" s="23" t="str">
        <f aca="false">IF(N271="","",IF(N271&gt;=16,"CRITICAL",IF(N271&gt;=8,"HIGH",IF(N271&gt;=4,"MEDIUM","LOW"))))</f>
        <v>LOW</v>
      </c>
      <c r="P271" s="23"/>
      <c r="Q271" s="23"/>
      <c r="R271" s="23"/>
      <c r="S271" s="23"/>
      <c r="T271" s="128" t="s">
        <v>1706</v>
      </c>
      <c r="U271" s="23"/>
      <c r="V271" s="23"/>
    </row>
    <row r="272" customFormat="false" ht="45" hidden="false" customHeight="true" outlineLevel="0" collapsed="false">
      <c r="A272" s="47" t="s">
        <v>2200</v>
      </c>
      <c r="B272" s="126" t="s">
        <v>947</v>
      </c>
      <c r="C272" s="32" t="s">
        <v>939</v>
      </c>
      <c r="D272" s="32" t="s">
        <v>2201</v>
      </c>
      <c r="E272" s="32"/>
      <c r="F272" s="32"/>
      <c r="G272" s="32"/>
      <c r="H272" s="32"/>
      <c r="I272" s="32"/>
      <c r="J272" s="32" t="n">
        <f aca="false">H272*I272</f>
        <v>0</v>
      </c>
      <c r="K272" s="32" t="str">
        <f aca="false">IF(J272="","",IF(J272&gt;=20,"CRITICAL",IF(J272&gt;=12,"HIGH",IF(J272&gt;=6,"MEDIUM","LOW"))))</f>
        <v>LOW</v>
      </c>
      <c r="L272" s="32"/>
      <c r="M272" s="32"/>
      <c r="N272" s="32" t="n">
        <f aca="false">IF(J272="","",MAX(1,J272-IFERROR(M272*2,0)))</f>
        <v>1</v>
      </c>
      <c r="O272" s="32" t="str">
        <f aca="false">IF(N272="","",IF(N272&gt;=16,"CRITICAL",IF(N272&gt;=8,"HIGH",IF(N272&gt;=4,"MEDIUM","LOW"))))</f>
        <v>LOW</v>
      </c>
      <c r="P272" s="32"/>
      <c r="Q272" s="32"/>
      <c r="R272" s="32"/>
      <c r="S272" s="32"/>
      <c r="T272" s="128" t="s">
        <v>1706</v>
      </c>
      <c r="U272" s="32"/>
      <c r="V272" s="32"/>
    </row>
    <row r="273" customFormat="false" ht="45" hidden="false" customHeight="true" outlineLevel="0" collapsed="false">
      <c r="A273" s="45" t="s">
        <v>2202</v>
      </c>
      <c r="B273" s="127" t="s">
        <v>950</v>
      </c>
      <c r="C273" s="23" t="s">
        <v>939</v>
      </c>
      <c r="D273" s="23" t="s">
        <v>2203</v>
      </c>
      <c r="E273" s="23"/>
      <c r="F273" s="23"/>
      <c r="G273" s="23"/>
      <c r="H273" s="23"/>
      <c r="I273" s="23"/>
      <c r="J273" s="23" t="n">
        <f aca="false">H273*I273</f>
        <v>0</v>
      </c>
      <c r="K273" s="23" t="str">
        <f aca="false">IF(J273="","",IF(J273&gt;=20,"CRITICAL",IF(J273&gt;=12,"HIGH",IF(J273&gt;=6,"MEDIUM","LOW"))))</f>
        <v>LOW</v>
      </c>
      <c r="L273" s="23"/>
      <c r="M273" s="23"/>
      <c r="N273" s="23" t="n">
        <f aca="false">IF(J273="","",MAX(1,J273-IFERROR(M273*2,0)))</f>
        <v>1</v>
      </c>
      <c r="O273" s="23" t="str">
        <f aca="false">IF(N273="","",IF(N273&gt;=16,"CRITICAL",IF(N273&gt;=8,"HIGH",IF(N273&gt;=4,"MEDIUM","LOW"))))</f>
        <v>LOW</v>
      </c>
      <c r="P273" s="23"/>
      <c r="Q273" s="23"/>
      <c r="R273" s="23"/>
      <c r="S273" s="23"/>
      <c r="T273" s="128" t="s">
        <v>1706</v>
      </c>
      <c r="U273" s="23"/>
      <c r="V273" s="23"/>
    </row>
    <row r="274" customFormat="false" ht="45" hidden="false" customHeight="true" outlineLevel="0" collapsed="false">
      <c r="A274" s="47" t="s">
        <v>2204</v>
      </c>
      <c r="B274" s="126" t="s">
        <v>953</v>
      </c>
      <c r="C274" s="32" t="s">
        <v>939</v>
      </c>
      <c r="D274" s="32" t="s">
        <v>2205</v>
      </c>
      <c r="E274" s="32"/>
      <c r="F274" s="32"/>
      <c r="G274" s="32"/>
      <c r="H274" s="32"/>
      <c r="I274" s="32"/>
      <c r="J274" s="32" t="n">
        <f aca="false">H274*I274</f>
        <v>0</v>
      </c>
      <c r="K274" s="32" t="str">
        <f aca="false">IF(J274="","",IF(J274&gt;=20,"CRITICAL",IF(J274&gt;=12,"HIGH",IF(J274&gt;=6,"MEDIUM","LOW"))))</f>
        <v>LOW</v>
      </c>
      <c r="L274" s="32"/>
      <c r="M274" s="32"/>
      <c r="N274" s="32" t="n">
        <f aca="false">IF(J274="","",MAX(1,J274-IFERROR(M274*2,0)))</f>
        <v>1</v>
      </c>
      <c r="O274" s="32" t="str">
        <f aca="false">IF(N274="","",IF(N274&gt;=16,"CRITICAL",IF(N274&gt;=8,"HIGH",IF(N274&gt;=4,"MEDIUM","LOW"))))</f>
        <v>LOW</v>
      </c>
      <c r="P274" s="32"/>
      <c r="Q274" s="32"/>
      <c r="R274" s="32"/>
      <c r="S274" s="32"/>
      <c r="T274" s="128" t="s">
        <v>1706</v>
      </c>
      <c r="U274" s="32"/>
      <c r="V274" s="32"/>
    </row>
    <row r="275" customFormat="false" ht="45" hidden="false" customHeight="true" outlineLevel="0" collapsed="false">
      <c r="A275" s="45" t="s">
        <v>2206</v>
      </c>
      <c r="B275" s="127" t="s">
        <v>956</v>
      </c>
      <c r="C275" s="23" t="s">
        <v>939</v>
      </c>
      <c r="D275" s="23" t="s">
        <v>2207</v>
      </c>
      <c r="E275" s="23"/>
      <c r="F275" s="23"/>
      <c r="G275" s="23"/>
      <c r="H275" s="23"/>
      <c r="I275" s="23"/>
      <c r="J275" s="23" t="n">
        <f aca="false">H275*I275</f>
        <v>0</v>
      </c>
      <c r="K275" s="23" t="str">
        <f aca="false">IF(J275="","",IF(J275&gt;=20,"CRITICAL",IF(J275&gt;=12,"HIGH",IF(J275&gt;=6,"MEDIUM","LOW"))))</f>
        <v>LOW</v>
      </c>
      <c r="L275" s="23"/>
      <c r="M275" s="23"/>
      <c r="N275" s="23" t="n">
        <f aca="false">IF(J275="","",MAX(1,J275-IFERROR(M275*2,0)))</f>
        <v>1</v>
      </c>
      <c r="O275" s="23" t="str">
        <f aca="false">IF(N275="","",IF(N275&gt;=16,"CRITICAL",IF(N275&gt;=8,"HIGH",IF(N275&gt;=4,"MEDIUM","LOW"))))</f>
        <v>LOW</v>
      </c>
      <c r="P275" s="23"/>
      <c r="Q275" s="23"/>
      <c r="R275" s="23"/>
      <c r="S275" s="23"/>
      <c r="T275" s="128" t="s">
        <v>1706</v>
      </c>
      <c r="U275" s="23"/>
      <c r="V275" s="23"/>
    </row>
    <row r="276" customFormat="false" ht="45" hidden="false" customHeight="true" outlineLevel="0" collapsed="false">
      <c r="A276" s="47" t="s">
        <v>2208</v>
      </c>
      <c r="B276" s="126" t="s">
        <v>959</v>
      </c>
      <c r="C276" s="32" t="s">
        <v>939</v>
      </c>
      <c r="D276" s="32" t="s">
        <v>2209</v>
      </c>
      <c r="E276" s="32"/>
      <c r="F276" s="32"/>
      <c r="G276" s="32"/>
      <c r="H276" s="32"/>
      <c r="I276" s="32"/>
      <c r="J276" s="32" t="n">
        <f aca="false">H276*I276</f>
        <v>0</v>
      </c>
      <c r="K276" s="32" t="str">
        <f aca="false">IF(J276="","",IF(J276&gt;=20,"CRITICAL",IF(J276&gt;=12,"HIGH",IF(J276&gt;=6,"MEDIUM","LOW"))))</f>
        <v>LOW</v>
      </c>
      <c r="L276" s="32"/>
      <c r="M276" s="32"/>
      <c r="N276" s="32" t="n">
        <f aca="false">IF(J276="","",MAX(1,J276-IFERROR(M276*2,0)))</f>
        <v>1</v>
      </c>
      <c r="O276" s="32" t="str">
        <f aca="false">IF(N276="","",IF(N276&gt;=16,"CRITICAL",IF(N276&gt;=8,"HIGH",IF(N276&gt;=4,"MEDIUM","LOW"))))</f>
        <v>LOW</v>
      </c>
      <c r="P276" s="32"/>
      <c r="Q276" s="32"/>
      <c r="R276" s="32"/>
      <c r="S276" s="32"/>
      <c r="T276" s="128" t="s">
        <v>1706</v>
      </c>
      <c r="U276" s="32"/>
      <c r="V276" s="32"/>
    </row>
    <row r="277" customFormat="false" ht="45" hidden="false" customHeight="true" outlineLevel="0" collapsed="false">
      <c r="A277" s="45" t="s">
        <v>2210</v>
      </c>
      <c r="B277" s="127" t="s">
        <v>962</v>
      </c>
      <c r="C277" s="23" t="s">
        <v>939</v>
      </c>
      <c r="D277" s="23" t="s">
        <v>2211</v>
      </c>
      <c r="E277" s="23"/>
      <c r="F277" s="23"/>
      <c r="G277" s="23"/>
      <c r="H277" s="23"/>
      <c r="I277" s="23"/>
      <c r="J277" s="23" t="n">
        <f aca="false">H277*I277</f>
        <v>0</v>
      </c>
      <c r="K277" s="23" t="str">
        <f aca="false">IF(J277="","",IF(J277&gt;=20,"CRITICAL",IF(J277&gt;=12,"HIGH",IF(J277&gt;=6,"MEDIUM","LOW"))))</f>
        <v>LOW</v>
      </c>
      <c r="L277" s="23"/>
      <c r="M277" s="23"/>
      <c r="N277" s="23" t="n">
        <f aca="false">IF(J277="","",MAX(1,J277-IFERROR(M277*2,0)))</f>
        <v>1</v>
      </c>
      <c r="O277" s="23" t="str">
        <f aca="false">IF(N277="","",IF(N277&gt;=16,"CRITICAL",IF(N277&gt;=8,"HIGH",IF(N277&gt;=4,"MEDIUM","LOW"))))</f>
        <v>LOW</v>
      </c>
      <c r="P277" s="23"/>
      <c r="Q277" s="23"/>
      <c r="R277" s="23"/>
      <c r="S277" s="23"/>
      <c r="T277" s="128" t="s">
        <v>1706</v>
      </c>
      <c r="U277" s="23"/>
      <c r="V277" s="23"/>
    </row>
    <row r="278" customFormat="false" ht="45" hidden="false" customHeight="true" outlineLevel="0" collapsed="false">
      <c r="A278" s="47" t="s">
        <v>2212</v>
      </c>
      <c r="B278" s="126" t="s">
        <v>965</v>
      </c>
      <c r="C278" s="32" t="s">
        <v>939</v>
      </c>
      <c r="D278" s="32" t="s">
        <v>2213</v>
      </c>
      <c r="E278" s="32"/>
      <c r="F278" s="32"/>
      <c r="G278" s="32"/>
      <c r="H278" s="32"/>
      <c r="I278" s="32"/>
      <c r="J278" s="32" t="n">
        <f aca="false">H278*I278</f>
        <v>0</v>
      </c>
      <c r="K278" s="32" t="str">
        <f aca="false">IF(J278="","",IF(J278&gt;=20,"CRITICAL",IF(J278&gt;=12,"HIGH",IF(J278&gt;=6,"MEDIUM","LOW"))))</f>
        <v>LOW</v>
      </c>
      <c r="L278" s="32"/>
      <c r="M278" s="32"/>
      <c r="N278" s="32" t="n">
        <f aca="false">IF(J278="","",MAX(1,J278-IFERROR(M278*2,0)))</f>
        <v>1</v>
      </c>
      <c r="O278" s="32" t="str">
        <f aca="false">IF(N278="","",IF(N278&gt;=16,"CRITICAL",IF(N278&gt;=8,"HIGH",IF(N278&gt;=4,"MEDIUM","LOW"))))</f>
        <v>LOW</v>
      </c>
      <c r="P278" s="32"/>
      <c r="Q278" s="32"/>
      <c r="R278" s="32"/>
      <c r="S278" s="32"/>
      <c r="T278" s="128" t="s">
        <v>1706</v>
      </c>
      <c r="U278" s="32"/>
      <c r="V278" s="32"/>
    </row>
    <row r="279" customFormat="false" ht="45" hidden="false" customHeight="true" outlineLevel="0" collapsed="false">
      <c r="A279" s="45" t="s">
        <v>2214</v>
      </c>
      <c r="B279" s="127" t="s">
        <v>968</v>
      </c>
      <c r="C279" s="23" t="s">
        <v>939</v>
      </c>
      <c r="D279" s="23" t="s">
        <v>2215</v>
      </c>
      <c r="E279" s="23"/>
      <c r="F279" s="23"/>
      <c r="G279" s="23"/>
      <c r="H279" s="23"/>
      <c r="I279" s="23"/>
      <c r="J279" s="23" t="n">
        <f aca="false">H279*I279</f>
        <v>0</v>
      </c>
      <c r="K279" s="23" t="str">
        <f aca="false">IF(J279="","",IF(J279&gt;=20,"CRITICAL",IF(J279&gt;=12,"HIGH",IF(J279&gt;=6,"MEDIUM","LOW"))))</f>
        <v>LOW</v>
      </c>
      <c r="L279" s="23"/>
      <c r="M279" s="23"/>
      <c r="N279" s="23" t="n">
        <f aca="false">IF(J279="","",MAX(1,J279-IFERROR(M279*2,0)))</f>
        <v>1</v>
      </c>
      <c r="O279" s="23" t="str">
        <f aca="false">IF(N279="","",IF(N279&gt;=16,"CRITICAL",IF(N279&gt;=8,"HIGH",IF(N279&gt;=4,"MEDIUM","LOW"))))</f>
        <v>LOW</v>
      </c>
      <c r="P279" s="23"/>
      <c r="Q279" s="23"/>
      <c r="R279" s="23"/>
      <c r="S279" s="23"/>
      <c r="T279" s="128" t="s">
        <v>1706</v>
      </c>
      <c r="U279" s="23"/>
      <c r="V279" s="23"/>
    </row>
    <row r="280" customFormat="false" ht="45" hidden="false" customHeight="true" outlineLevel="0" collapsed="false">
      <c r="A280" s="47" t="s">
        <v>2216</v>
      </c>
      <c r="B280" s="126" t="s">
        <v>972</v>
      </c>
      <c r="C280" s="32" t="s">
        <v>939</v>
      </c>
      <c r="D280" s="32" t="s">
        <v>2217</v>
      </c>
      <c r="E280" s="32"/>
      <c r="F280" s="32"/>
      <c r="G280" s="32"/>
      <c r="H280" s="32"/>
      <c r="I280" s="32"/>
      <c r="J280" s="32" t="n">
        <f aca="false">H280*I280</f>
        <v>0</v>
      </c>
      <c r="K280" s="32" t="str">
        <f aca="false">IF(J280="","",IF(J280&gt;=20,"CRITICAL",IF(J280&gt;=12,"HIGH",IF(J280&gt;=6,"MEDIUM","LOW"))))</f>
        <v>LOW</v>
      </c>
      <c r="L280" s="32"/>
      <c r="M280" s="32"/>
      <c r="N280" s="32" t="n">
        <f aca="false">IF(J280="","",MAX(1,J280-IFERROR(M280*2,0)))</f>
        <v>1</v>
      </c>
      <c r="O280" s="32" t="str">
        <f aca="false">IF(N280="","",IF(N280&gt;=16,"CRITICAL",IF(N280&gt;=8,"HIGH",IF(N280&gt;=4,"MEDIUM","LOW"))))</f>
        <v>LOW</v>
      </c>
      <c r="P280" s="32"/>
      <c r="Q280" s="32"/>
      <c r="R280" s="32"/>
      <c r="S280" s="32"/>
      <c r="T280" s="128" t="s">
        <v>1706</v>
      </c>
      <c r="U280" s="32"/>
      <c r="V280" s="32"/>
    </row>
    <row r="281" customFormat="false" ht="45" hidden="false" customHeight="true" outlineLevel="0" collapsed="false">
      <c r="A281" s="45" t="s">
        <v>2218</v>
      </c>
      <c r="B281" s="127" t="s">
        <v>975</v>
      </c>
      <c r="C281" s="23" t="s">
        <v>939</v>
      </c>
      <c r="D281" s="23" t="s">
        <v>2219</v>
      </c>
      <c r="E281" s="23"/>
      <c r="F281" s="23"/>
      <c r="G281" s="23"/>
      <c r="H281" s="23"/>
      <c r="I281" s="23"/>
      <c r="J281" s="23" t="n">
        <f aca="false">H281*I281</f>
        <v>0</v>
      </c>
      <c r="K281" s="23" t="str">
        <f aca="false">IF(J281="","",IF(J281&gt;=20,"CRITICAL",IF(J281&gt;=12,"HIGH",IF(J281&gt;=6,"MEDIUM","LOW"))))</f>
        <v>LOW</v>
      </c>
      <c r="L281" s="23"/>
      <c r="M281" s="23"/>
      <c r="N281" s="23" t="n">
        <f aca="false">IF(J281="","",MAX(1,J281-IFERROR(M281*2,0)))</f>
        <v>1</v>
      </c>
      <c r="O281" s="23" t="str">
        <f aca="false">IF(N281="","",IF(N281&gt;=16,"CRITICAL",IF(N281&gt;=8,"HIGH",IF(N281&gt;=4,"MEDIUM","LOW"))))</f>
        <v>LOW</v>
      </c>
      <c r="P281" s="23"/>
      <c r="Q281" s="23"/>
      <c r="R281" s="23"/>
      <c r="S281" s="23"/>
      <c r="T281" s="128" t="s">
        <v>1706</v>
      </c>
      <c r="U281" s="23"/>
      <c r="V281" s="23"/>
    </row>
    <row r="282" customFormat="false" ht="45" hidden="false" customHeight="true" outlineLevel="0" collapsed="false">
      <c r="A282" s="47" t="s">
        <v>2220</v>
      </c>
      <c r="B282" s="126" t="s">
        <v>978</v>
      </c>
      <c r="C282" s="32" t="s">
        <v>939</v>
      </c>
      <c r="D282" s="32" t="s">
        <v>979</v>
      </c>
      <c r="E282" s="32"/>
      <c r="F282" s="32"/>
      <c r="G282" s="32"/>
      <c r="H282" s="32"/>
      <c r="I282" s="32"/>
      <c r="J282" s="32" t="n">
        <f aca="false">H282*I282</f>
        <v>0</v>
      </c>
      <c r="K282" s="32" t="str">
        <f aca="false">IF(J282="","",IF(J282&gt;=20,"CRITICAL",IF(J282&gt;=12,"HIGH",IF(J282&gt;=6,"MEDIUM","LOW"))))</f>
        <v>LOW</v>
      </c>
      <c r="L282" s="32"/>
      <c r="M282" s="32"/>
      <c r="N282" s="32" t="n">
        <f aca="false">IF(J282="","",MAX(1,J282-IFERROR(M282*2,0)))</f>
        <v>1</v>
      </c>
      <c r="O282" s="32" t="str">
        <f aca="false">IF(N282="","",IF(N282&gt;=16,"CRITICAL",IF(N282&gt;=8,"HIGH",IF(N282&gt;=4,"MEDIUM","LOW"))))</f>
        <v>LOW</v>
      </c>
      <c r="P282" s="32"/>
      <c r="Q282" s="32"/>
      <c r="R282" s="32"/>
      <c r="S282" s="32"/>
      <c r="T282" s="128" t="s">
        <v>1706</v>
      </c>
      <c r="U282" s="32"/>
      <c r="V282" s="32"/>
    </row>
    <row r="283" customFormat="false" ht="45" hidden="false" customHeight="true" outlineLevel="0" collapsed="false">
      <c r="A283" s="45" t="s">
        <v>2221</v>
      </c>
      <c r="B283" s="127" t="s">
        <v>981</v>
      </c>
      <c r="C283" s="23" t="s">
        <v>939</v>
      </c>
      <c r="D283" s="23" t="s">
        <v>2222</v>
      </c>
      <c r="E283" s="23"/>
      <c r="F283" s="23"/>
      <c r="G283" s="23"/>
      <c r="H283" s="23"/>
      <c r="I283" s="23"/>
      <c r="J283" s="23" t="n">
        <f aca="false">H283*I283</f>
        <v>0</v>
      </c>
      <c r="K283" s="23" t="str">
        <f aca="false">IF(J283="","",IF(J283&gt;=20,"CRITICAL",IF(J283&gt;=12,"HIGH",IF(J283&gt;=6,"MEDIUM","LOW"))))</f>
        <v>LOW</v>
      </c>
      <c r="L283" s="23"/>
      <c r="M283" s="23"/>
      <c r="N283" s="23" t="n">
        <f aca="false">IF(J283="","",MAX(1,J283-IFERROR(M283*2,0)))</f>
        <v>1</v>
      </c>
      <c r="O283" s="23" t="str">
        <f aca="false">IF(N283="","",IF(N283&gt;=16,"CRITICAL",IF(N283&gt;=8,"HIGH",IF(N283&gt;=4,"MEDIUM","LOW"))))</f>
        <v>LOW</v>
      </c>
      <c r="P283" s="23"/>
      <c r="Q283" s="23"/>
      <c r="R283" s="23"/>
      <c r="S283" s="23"/>
      <c r="T283" s="128" t="s">
        <v>1706</v>
      </c>
      <c r="U283" s="23"/>
      <c r="V283" s="23"/>
    </row>
    <row r="284" customFormat="false" ht="45" hidden="false" customHeight="true" outlineLevel="0" collapsed="false">
      <c r="A284" s="47" t="s">
        <v>2223</v>
      </c>
      <c r="B284" s="126" t="s">
        <v>984</v>
      </c>
      <c r="C284" s="32" t="s">
        <v>939</v>
      </c>
      <c r="D284" s="32" t="s">
        <v>2224</v>
      </c>
      <c r="E284" s="32"/>
      <c r="F284" s="32"/>
      <c r="G284" s="32"/>
      <c r="H284" s="32"/>
      <c r="I284" s="32"/>
      <c r="J284" s="32" t="n">
        <f aca="false">H284*I284</f>
        <v>0</v>
      </c>
      <c r="K284" s="32" t="str">
        <f aca="false">IF(J284="","",IF(J284&gt;=20,"CRITICAL",IF(J284&gt;=12,"HIGH",IF(J284&gt;=6,"MEDIUM","LOW"))))</f>
        <v>LOW</v>
      </c>
      <c r="L284" s="32"/>
      <c r="M284" s="32"/>
      <c r="N284" s="32" t="n">
        <f aca="false">IF(J284="","",MAX(1,J284-IFERROR(M284*2,0)))</f>
        <v>1</v>
      </c>
      <c r="O284" s="32" t="str">
        <f aca="false">IF(N284="","",IF(N284&gt;=16,"CRITICAL",IF(N284&gt;=8,"HIGH",IF(N284&gt;=4,"MEDIUM","LOW"))))</f>
        <v>LOW</v>
      </c>
      <c r="P284" s="32"/>
      <c r="Q284" s="32"/>
      <c r="R284" s="32"/>
      <c r="S284" s="32"/>
      <c r="T284" s="128" t="s">
        <v>1706</v>
      </c>
      <c r="U284" s="32"/>
      <c r="V284" s="32"/>
    </row>
    <row r="285" customFormat="false" ht="45" hidden="false" customHeight="true" outlineLevel="0" collapsed="false">
      <c r="A285" s="45" t="s">
        <v>2225</v>
      </c>
      <c r="B285" s="127" t="s">
        <v>987</v>
      </c>
      <c r="C285" s="23" t="s">
        <v>939</v>
      </c>
      <c r="D285" s="23" t="s">
        <v>2226</v>
      </c>
      <c r="E285" s="23"/>
      <c r="F285" s="23"/>
      <c r="G285" s="23"/>
      <c r="H285" s="23"/>
      <c r="I285" s="23"/>
      <c r="J285" s="23" t="n">
        <f aca="false">H285*I285</f>
        <v>0</v>
      </c>
      <c r="K285" s="23" t="str">
        <f aca="false">IF(J285="","",IF(J285&gt;=20,"CRITICAL",IF(J285&gt;=12,"HIGH",IF(J285&gt;=6,"MEDIUM","LOW"))))</f>
        <v>LOW</v>
      </c>
      <c r="L285" s="23"/>
      <c r="M285" s="23"/>
      <c r="N285" s="23" t="n">
        <f aca="false">IF(J285="","",MAX(1,J285-IFERROR(M285*2,0)))</f>
        <v>1</v>
      </c>
      <c r="O285" s="23" t="str">
        <f aca="false">IF(N285="","",IF(N285&gt;=16,"CRITICAL",IF(N285&gt;=8,"HIGH",IF(N285&gt;=4,"MEDIUM","LOW"))))</f>
        <v>LOW</v>
      </c>
      <c r="P285" s="23"/>
      <c r="Q285" s="23"/>
      <c r="R285" s="23"/>
      <c r="S285" s="23"/>
      <c r="T285" s="128" t="s">
        <v>1706</v>
      </c>
      <c r="U285" s="23"/>
      <c r="V285" s="23"/>
    </row>
    <row r="286" customFormat="false" ht="45" hidden="false" customHeight="true" outlineLevel="0" collapsed="false">
      <c r="A286" s="47" t="s">
        <v>2227</v>
      </c>
      <c r="B286" s="126" t="s">
        <v>990</v>
      </c>
      <c r="C286" s="32" t="s">
        <v>939</v>
      </c>
      <c r="D286" s="32" t="s">
        <v>991</v>
      </c>
      <c r="E286" s="32"/>
      <c r="F286" s="32"/>
      <c r="G286" s="32"/>
      <c r="H286" s="32"/>
      <c r="I286" s="32"/>
      <c r="J286" s="32" t="n">
        <f aca="false">H286*I286</f>
        <v>0</v>
      </c>
      <c r="K286" s="32" t="str">
        <f aca="false">IF(J286="","",IF(J286&gt;=20,"CRITICAL",IF(J286&gt;=12,"HIGH",IF(J286&gt;=6,"MEDIUM","LOW"))))</f>
        <v>LOW</v>
      </c>
      <c r="L286" s="32"/>
      <c r="M286" s="32"/>
      <c r="N286" s="32" t="n">
        <f aca="false">IF(J286="","",MAX(1,J286-IFERROR(M286*2,0)))</f>
        <v>1</v>
      </c>
      <c r="O286" s="32" t="str">
        <f aca="false">IF(N286="","",IF(N286&gt;=16,"CRITICAL",IF(N286&gt;=8,"HIGH",IF(N286&gt;=4,"MEDIUM","LOW"))))</f>
        <v>LOW</v>
      </c>
      <c r="P286" s="32"/>
      <c r="Q286" s="32"/>
      <c r="R286" s="32"/>
      <c r="S286" s="32"/>
      <c r="T286" s="128" t="s">
        <v>1706</v>
      </c>
      <c r="U286" s="32"/>
      <c r="V286" s="32"/>
    </row>
    <row r="287" customFormat="false" ht="45" hidden="false" customHeight="true" outlineLevel="0" collapsed="false">
      <c r="A287" s="45" t="s">
        <v>2228</v>
      </c>
      <c r="B287" s="127" t="s">
        <v>993</v>
      </c>
      <c r="C287" s="23" t="s">
        <v>939</v>
      </c>
      <c r="D287" s="23" t="s">
        <v>2229</v>
      </c>
      <c r="E287" s="23"/>
      <c r="F287" s="23"/>
      <c r="G287" s="23"/>
      <c r="H287" s="23"/>
      <c r="I287" s="23"/>
      <c r="J287" s="23" t="n">
        <f aca="false">H287*I287</f>
        <v>0</v>
      </c>
      <c r="K287" s="23" t="str">
        <f aca="false">IF(J287="","",IF(J287&gt;=20,"CRITICAL",IF(J287&gt;=12,"HIGH",IF(J287&gt;=6,"MEDIUM","LOW"))))</f>
        <v>LOW</v>
      </c>
      <c r="L287" s="23"/>
      <c r="M287" s="23"/>
      <c r="N287" s="23" t="n">
        <f aca="false">IF(J287="","",MAX(1,J287-IFERROR(M287*2,0)))</f>
        <v>1</v>
      </c>
      <c r="O287" s="23" t="str">
        <f aca="false">IF(N287="","",IF(N287&gt;=16,"CRITICAL",IF(N287&gt;=8,"HIGH",IF(N287&gt;=4,"MEDIUM","LOW"))))</f>
        <v>LOW</v>
      </c>
      <c r="P287" s="23"/>
      <c r="Q287" s="23"/>
      <c r="R287" s="23"/>
      <c r="S287" s="23"/>
      <c r="T287" s="128" t="s">
        <v>1706</v>
      </c>
      <c r="U287" s="23"/>
      <c r="V287" s="23"/>
    </row>
    <row r="288" customFormat="false" ht="45" hidden="false" customHeight="true" outlineLevel="0" collapsed="false">
      <c r="A288" s="47" t="s">
        <v>2230</v>
      </c>
      <c r="B288" s="126" t="s">
        <v>996</v>
      </c>
      <c r="C288" s="32" t="s">
        <v>939</v>
      </c>
      <c r="D288" s="32" t="s">
        <v>2231</v>
      </c>
      <c r="E288" s="32"/>
      <c r="F288" s="32"/>
      <c r="G288" s="32"/>
      <c r="H288" s="32"/>
      <c r="I288" s="32"/>
      <c r="J288" s="32" t="n">
        <f aca="false">H288*I288</f>
        <v>0</v>
      </c>
      <c r="K288" s="32" t="str">
        <f aca="false">IF(J288="","",IF(J288&gt;=20,"CRITICAL",IF(J288&gt;=12,"HIGH",IF(J288&gt;=6,"MEDIUM","LOW"))))</f>
        <v>LOW</v>
      </c>
      <c r="L288" s="32"/>
      <c r="M288" s="32"/>
      <c r="N288" s="32" t="n">
        <f aca="false">IF(J288="","",MAX(1,J288-IFERROR(M288*2,0)))</f>
        <v>1</v>
      </c>
      <c r="O288" s="32" t="str">
        <f aca="false">IF(N288="","",IF(N288&gt;=16,"CRITICAL",IF(N288&gt;=8,"HIGH",IF(N288&gt;=4,"MEDIUM","LOW"))))</f>
        <v>LOW</v>
      </c>
      <c r="P288" s="32"/>
      <c r="Q288" s="32"/>
      <c r="R288" s="32"/>
      <c r="S288" s="32"/>
      <c r="T288" s="128" t="s">
        <v>1706</v>
      </c>
      <c r="U288" s="32"/>
      <c r="V288" s="32"/>
    </row>
    <row r="289" customFormat="false" ht="45" hidden="false" customHeight="true" outlineLevel="0" collapsed="false">
      <c r="A289" s="45" t="s">
        <v>2232</v>
      </c>
      <c r="B289" s="127" t="s">
        <v>999</v>
      </c>
      <c r="C289" s="23" t="s">
        <v>939</v>
      </c>
      <c r="D289" s="23" t="s">
        <v>2233</v>
      </c>
      <c r="E289" s="23"/>
      <c r="F289" s="23"/>
      <c r="G289" s="23"/>
      <c r="H289" s="23"/>
      <c r="I289" s="23"/>
      <c r="J289" s="23" t="n">
        <f aca="false">H289*I289</f>
        <v>0</v>
      </c>
      <c r="K289" s="23" t="str">
        <f aca="false">IF(J289="","",IF(J289&gt;=20,"CRITICAL",IF(J289&gt;=12,"HIGH",IF(J289&gt;=6,"MEDIUM","LOW"))))</f>
        <v>LOW</v>
      </c>
      <c r="L289" s="23"/>
      <c r="M289" s="23"/>
      <c r="N289" s="23" t="n">
        <f aca="false">IF(J289="","",MAX(1,J289-IFERROR(M289*2,0)))</f>
        <v>1</v>
      </c>
      <c r="O289" s="23" t="str">
        <f aca="false">IF(N289="","",IF(N289&gt;=16,"CRITICAL",IF(N289&gt;=8,"HIGH",IF(N289&gt;=4,"MEDIUM","LOW"))))</f>
        <v>LOW</v>
      </c>
      <c r="P289" s="23"/>
      <c r="Q289" s="23"/>
      <c r="R289" s="23"/>
      <c r="S289" s="23"/>
      <c r="T289" s="128" t="s">
        <v>1706</v>
      </c>
      <c r="U289" s="23"/>
      <c r="V289" s="23"/>
    </row>
    <row r="290" customFormat="false" ht="45" hidden="false" customHeight="true" outlineLevel="0" collapsed="false">
      <c r="A290" s="47" t="s">
        <v>2234</v>
      </c>
      <c r="B290" s="126" t="s">
        <v>1002</v>
      </c>
      <c r="C290" s="32" t="s">
        <v>939</v>
      </c>
      <c r="D290" s="32" t="s">
        <v>2235</v>
      </c>
      <c r="E290" s="32"/>
      <c r="F290" s="32"/>
      <c r="G290" s="32"/>
      <c r="H290" s="32"/>
      <c r="I290" s="32"/>
      <c r="J290" s="32" t="n">
        <f aca="false">H290*I290</f>
        <v>0</v>
      </c>
      <c r="K290" s="32" t="str">
        <f aca="false">IF(J290="","",IF(J290&gt;=20,"CRITICAL",IF(J290&gt;=12,"HIGH",IF(J290&gt;=6,"MEDIUM","LOW"))))</f>
        <v>LOW</v>
      </c>
      <c r="L290" s="32"/>
      <c r="M290" s="32"/>
      <c r="N290" s="32" t="n">
        <f aca="false">IF(J290="","",MAX(1,J290-IFERROR(M290*2,0)))</f>
        <v>1</v>
      </c>
      <c r="O290" s="32" t="str">
        <f aca="false">IF(N290="","",IF(N290&gt;=16,"CRITICAL",IF(N290&gt;=8,"HIGH",IF(N290&gt;=4,"MEDIUM","LOW"))))</f>
        <v>LOW</v>
      </c>
      <c r="P290" s="32"/>
      <c r="Q290" s="32"/>
      <c r="R290" s="32"/>
      <c r="S290" s="32"/>
      <c r="T290" s="128" t="s">
        <v>1706</v>
      </c>
      <c r="U290" s="32"/>
      <c r="V290" s="32"/>
    </row>
    <row r="291" customFormat="false" ht="45" hidden="false" customHeight="true" outlineLevel="0" collapsed="false">
      <c r="A291" s="45" t="s">
        <v>2236</v>
      </c>
      <c r="B291" s="127" t="s">
        <v>1006</v>
      </c>
      <c r="C291" s="23" t="s">
        <v>939</v>
      </c>
      <c r="D291" s="23" t="s">
        <v>1007</v>
      </c>
      <c r="E291" s="23"/>
      <c r="F291" s="23"/>
      <c r="G291" s="23"/>
      <c r="H291" s="23"/>
      <c r="I291" s="23"/>
      <c r="J291" s="23" t="n">
        <f aca="false">H291*I291</f>
        <v>0</v>
      </c>
      <c r="K291" s="23" t="str">
        <f aca="false">IF(J291="","",IF(J291&gt;=20,"CRITICAL",IF(J291&gt;=12,"HIGH",IF(J291&gt;=6,"MEDIUM","LOW"))))</f>
        <v>LOW</v>
      </c>
      <c r="L291" s="23"/>
      <c r="M291" s="23"/>
      <c r="N291" s="23" t="n">
        <f aca="false">IF(J291="","",MAX(1,J291-IFERROR(M291*2,0)))</f>
        <v>1</v>
      </c>
      <c r="O291" s="23" t="str">
        <f aca="false">IF(N291="","",IF(N291&gt;=16,"CRITICAL",IF(N291&gt;=8,"HIGH",IF(N291&gt;=4,"MEDIUM","LOW"))))</f>
        <v>LOW</v>
      </c>
      <c r="P291" s="23"/>
      <c r="Q291" s="23"/>
      <c r="R291" s="23"/>
      <c r="S291" s="23"/>
      <c r="T291" s="128" t="s">
        <v>1706</v>
      </c>
      <c r="U291" s="23"/>
      <c r="V291" s="23"/>
    </row>
    <row r="292" customFormat="false" ht="45" hidden="false" customHeight="true" outlineLevel="0" collapsed="false">
      <c r="A292" s="47" t="s">
        <v>2237</v>
      </c>
      <c r="B292" s="126" t="s">
        <v>1009</v>
      </c>
      <c r="C292" s="32" t="s">
        <v>939</v>
      </c>
      <c r="D292" s="32" t="s">
        <v>2238</v>
      </c>
      <c r="E292" s="32"/>
      <c r="F292" s="32"/>
      <c r="G292" s="32"/>
      <c r="H292" s="32"/>
      <c r="I292" s="32"/>
      <c r="J292" s="32" t="n">
        <f aca="false">H292*I292</f>
        <v>0</v>
      </c>
      <c r="K292" s="32" t="str">
        <f aca="false">IF(J292="","",IF(J292&gt;=20,"CRITICAL",IF(J292&gt;=12,"HIGH",IF(J292&gt;=6,"MEDIUM","LOW"))))</f>
        <v>LOW</v>
      </c>
      <c r="L292" s="32"/>
      <c r="M292" s="32"/>
      <c r="N292" s="32" t="n">
        <f aca="false">IF(J292="","",MAX(1,J292-IFERROR(M292*2,0)))</f>
        <v>1</v>
      </c>
      <c r="O292" s="32" t="str">
        <f aca="false">IF(N292="","",IF(N292&gt;=16,"CRITICAL",IF(N292&gt;=8,"HIGH",IF(N292&gt;=4,"MEDIUM","LOW"))))</f>
        <v>LOW</v>
      </c>
      <c r="P292" s="32"/>
      <c r="Q292" s="32"/>
      <c r="R292" s="32"/>
      <c r="S292" s="32"/>
      <c r="T292" s="128" t="s">
        <v>1706</v>
      </c>
      <c r="U292" s="32"/>
      <c r="V292" s="32"/>
    </row>
    <row r="293" customFormat="false" ht="45" hidden="false" customHeight="true" outlineLevel="0" collapsed="false">
      <c r="A293" s="45" t="s">
        <v>2239</v>
      </c>
      <c r="B293" s="127" t="s">
        <v>1012</v>
      </c>
      <c r="C293" s="23" t="s">
        <v>939</v>
      </c>
      <c r="D293" s="23" t="s">
        <v>2240</v>
      </c>
      <c r="E293" s="23"/>
      <c r="F293" s="23"/>
      <c r="G293" s="23"/>
      <c r="H293" s="23"/>
      <c r="I293" s="23"/>
      <c r="J293" s="23" t="n">
        <f aca="false">H293*I293</f>
        <v>0</v>
      </c>
      <c r="K293" s="23" t="str">
        <f aca="false">IF(J293="","",IF(J293&gt;=20,"CRITICAL",IF(J293&gt;=12,"HIGH",IF(J293&gt;=6,"MEDIUM","LOW"))))</f>
        <v>LOW</v>
      </c>
      <c r="L293" s="23"/>
      <c r="M293" s="23"/>
      <c r="N293" s="23" t="n">
        <f aca="false">IF(J293="","",MAX(1,J293-IFERROR(M293*2,0)))</f>
        <v>1</v>
      </c>
      <c r="O293" s="23" t="str">
        <f aca="false">IF(N293="","",IF(N293&gt;=16,"CRITICAL",IF(N293&gt;=8,"HIGH",IF(N293&gt;=4,"MEDIUM","LOW"))))</f>
        <v>LOW</v>
      </c>
      <c r="P293" s="23"/>
      <c r="Q293" s="23"/>
      <c r="R293" s="23"/>
      <c r="S293" s="23"/>
      <c r="T293" s="128" t="s">
        <v>1706</v>
      </c>
      <c r="U293" s="23"/>
      <c r="V293" s="23"/>
    </row>
    <row r="294" customFormat="false" ht="45" hidden="false" customHeight="true" outlineLevel="0" collapsed="false">
      <c r="A294" s="47" t="s">
        <v>2241</v>
      </c>
      <c r="B294" s="126" t="s">
        <v>1015</v>
      </c>
      <c r="C294" s="32" t="s">
        <v>939</v>
      </c>
      <c r="D294" s="32" t="s">
        <v>2242</v>
      </c>
      <c r="E294" s="32"/>
      <c r="F294" s="32"/>
      <c r="G294" s="32"/>
      <c r="H294" s="32"/>
      <c r="I294" s="32"/>
      <c r="J294" s="32" t="n">
        <f aca="false">H294*I294</f>
        <v>0</v>
      </c>
      <c r="K294" s="32" t="str">
        <f aca="false">IF(J294="","",IF(J294&gt;=20,"CRITICAL",IF(J294&gt;=12,"HIGH",IF(J294&gt;=6,"MEDIUM","LOW"))))</f>
        <v>LOW</v>
      </c>
      <c r="L294" s="32"/>
      <c r="M294" s="32"/>
      <c r="N294" s="32" t="n">
        <f aca="false">IF(J294="","",MAX(1,J294-IFERROR(M294*2,0)))</f>
        <v>1</v>
      </c>
      <c r="O294" s="32" t="str">
        <f aca="false">IF(N294="","",IF(N294&gt;=16,"CRITICAL",IF(N294&gt;=8,"HIGH",IF(N294&gt;=4,"MEDIUM","LOW"))))</f>
        <v>LOW</v>
      </c>
      <c r="P294" s="32"/>
      <c r="Q294" s="32"/>
      <c r="R294" s="32"/>
      <c r="S294" s="32"/>
      <c r="T294" s="128" t="s">
        <v>1706</v>
      </c>
      <c r="U294" s="32"/>
      <c r="V294" s="32"/>
    </row>
    <row r="295" customFormat="false" ht="45" hidden="false" customHeight="true" outlineLevel="0" collapsed="false">
      <c r="A295" s="45" t="s">
        <v>2243</v>
      </c>
      <c r="B295" s="127" t="s">
        <v>1018</v>
      </c>
      <c r="C295" s="23" t="s">
        <v>939</v>
      </c>
      <c r="D295" s="23" t="s">
        <v>2244</v>
      </c>
      <c r="E295" s="23"/>
      <c r="F295" s="23"/>
      <c r="G295" s="23"/>
      <c r="H295" s="23"/>
      <c r="I295" s="23"/>
      <c r="J295" s="23" t="n">
        <f aca="false">H295*I295</f>
        <v>0</v>
      </c>
      <c r="K295" s="23" t="str">
        <f aca="false">IF(J295="","",IF(J295&gt;=20,"CRITICAL",IF(J295&gt;=12,"HIGH",IF(J295&gt;=6,"MEDIUM","LOW"))))</f>
        <v>LOW</v>
      </c>
      <c r="L295" s="23"/>
      <c r="M295" s="23"/>
      <c r="N295" s="23" t="n">
        <f aca="false">IF(J295="","",MAX(1,J295-IFERROR(M295*2,0)))</f>
        <v>1</v>
      </c>
      <c r="O295" s="23" t="str">
        <f aca="false">IF(N295="","",IF(N295&gt;=16,"CRITICAL",IF(N295&gt;=8,"HIGH",IF(N295&gt;=4,"MEDIUM","LOW"))))</f>
        <v>LOW</v>
      </c>
      <c r="P295" s="23"/>
      <c r="Q295" s="23"/>
      <c r="R295" s="23"/>
      <c r="S295" s="23"/>
      <c r="T295" s="128" t="s">
        <v>1706</v>
      </c>
      <c r="U295" s="23"/>
      <c r="V295" s="23"/>
    </row>
    <row r="296" customFormat="false" ht="45" hidden="false" customHeight="true" outlineLevel="0" collapsed="false">
      <c r="A296" s="47" t="s">
        <v>2245</v>
      </c>
      <c r="B296" s="126" t="s">
        <v>1021</v>
      </c>
      <c r="C296" s="32" t="s">
        <v>939</v>
      </c>
      <c r="D296" s="32" t="s">
        <v>2246</v>
      </c>
      <c r="E296" s="32"/>
      <c r="F296" s="32"/>
      <c r="G296" s="32"/>
      <c r="H296" s="32"/>
      <c r="I296" s="32"/>
      <c r="J296" s="32" t="n">
        <f aca="false">H296*I296</f>
        <v>0</v>
      </c>
      <c r="K296" s="32" t="str">
        <f aca="false">IF(J296="","",IF(J296&gt;=20,"CRITICAL",IF(J296&gt;=12,"HIGH",IF(J296&gt;=6,"MEDIUM","LOW"))))</f>
        <v>LOW</v>
      </c>
      <c r="L296" s="32"/>
      <c r="M296" s="32"/>
      <c r="N296" s="32" t="n">
        <f aca="false">IF(J296="","",MAX(1,J296-IFERROR(M296*2,0)))</f>
        <v>1</v>
      </c>
      <c r="O296" s="32" t="str">
        <f aca="false">IF(N296="","",IF(N296&gt;=16,"CRITICAL",IF(N296&gt;=8,"HIGH",IF(N296&gt;=4,"MEDIUM","LOW"))))</f>
        <v>LOW</v>
      </c>
      <c r="P296" s="32"/>
      <c r="Q296" s="32"/>
      <c r="R296" s="32"/>
      <c r="S296" s="32"/>
      <c r="T296" s="128" t="s">
        <v>1706</v>
      </c>
      <c r="U296" s="32"/>
      <c r="V296" s="32"/>
    </row>
    <row r="297" customFormat="false" ht="45" hidden="false" customHeight="true" outlineLevel="0" collapsed="false">
      <c r="A297" s="45" t="s">
        <v>2247</v>
      </c>
      <c r="B297" s="127" t="s">
        <v>1024</v>
      </c>
      <c r="C297" s="23" t="s">
        <v>939</v>
      </c>
      <c r="D297" s="23" t="s">
        <v>1025</v>
      </c>
      <c r="E297" s="23"/>
      <c r="F297" s="23"/>
      <c r="G297" s="23"/>
      <c r="H297" s="23"/>
      <c r="I297" s="23"/>
      <c r="J297" s="23" t="n">
        <f aca="false">H297*I297</f>
        <v>0</v>
      </c>
      <c r="K297" s="23" t="str">
        <f aca="false">IF(J297="","",IF(J297&gt;=20,"CRITICAL",IF(J297&gt;=12,"HIGH",IF(J297&gt;=6,"MEDIUM","LOW"))))</f>
        <v>LOW</v>
      </c>
      <c r="L297" s="23"/>
      <c r="M297" s="23"/>
      <c r="N297" s="23" t="n">
        <f aca="false">IF(J297="","",MAX(1,J297-IFERROR(M297*2,0)))</f>
        <v>1</v>
      </c>
      <c r="O297" s="23" t="str">
        <f aca="false">IF(N297="","",IF(N297&gt;=16,"CRITICAL",IF(N297&gt;=8,"HIGH",IF(N297&gt;=4,"MEDIUM","LOW"))))</f>
        <v>LOW</v>
      </c>
      <c r="P297" s="23"/>
      <c r="Q297" s="23"/>
      <c r="R297" s="23"/>
      <c r="S297" s="23"/>
      <c r="T297" s="128" t="s">
        <v>1706</v>
      </c>
      <c r="U297" s="23"/>
      <c r="V297" s="23"/>
    </row>
    <row r="298" customFormat="false" ht="45" hidden="false" customHeight="true" outlineLevel="0" collapsed="false">
      <c r="A298" s="47" t="s">
        <v>2248</v>
      </c>
      <c r="B298" s="126" t="s">
        <v>1028</v>
      </c>
      <c r="C298" s="32" t="s">
        <v>939</v>
      </c>
      <c r="D298" s="32" t="s">
        <v>2249</v>
      </c>
      <c r="E298" s="32"/>
      <c r="F298" s="32"/>
      <c r="G298" s="32"/>
      <c r="H298" s="32"/>
      <c r="I298" s="32"/>
      <c r="J298" s="32" t="n">
        <f aca="false">H298*I298</f>
        <v>0</v>
      </c>
      <c r="K298" s="32" t="str">
        <f aca="false">IF(J298="","",IF(J298&gt;=20,"CRITICAL",IF(J298&gt;=12,"HIGH",IF(J298&gt;=6,"MEDIUM","LOW"))))</f>
        <v>LOW</v>
      </c>
      <c r="L298" s="32"/>
      <c r="M298" s="32"/>
      <c r="N298" s="32" t="n">
        <f aca="false">IF(J298="","",MAX(1,J298-IFERROR(M298*2,0)))</f>
        <v>1</v>
      </c>
      <c r="O298" s="32" t="str">
        <f aca="false">IF(N298="","",IF(N298&gt;=16,"CRITICAL",IF(N298&gt;=8,"HIGH",IF(N298&gt;=4,"MEDIUM","LOW"))))</f>
        <v>LOW</v>
      </c>
      <c r="P298" s="32"/>
      <c r="Q298" s="32"/>
      <c r="R298" s="32"/>
      <c r="S298" s="32"/>
      <c r="T298" s="128" t="s">
        <v>1706</v>
      </c>
      <c r="U298" s="32"/>
      <c r="V298" s="32"/>
    </row>
    <row r="299" customFormat="false" ht="45" hidden="false" customHeight="true" outlineLevel="0" collapsed="false">
      <c r="A299" s="45" t="s">
        <v>2250</v>
      </c>
      <c r="B299" s="127" t="s">
        <v>1031</v>
      </c>
      <c r="C299" s="23" t="s">
        <v>939</v>
      </c>
      <c r="D299" s="23" t="s">
        <v>2251</v>
      </c>
      <c r="E299" s="23"/>
      <c r="F299" s="23"/>
      <c r="G299" s="23"/>
      <c r="H299" s="23"/>
      <c r="I299" s="23"/>
      <c r="J299" s="23" t="n">
        <f aca="false">H299*I299</f>
        <v>0</v>
      </c>
      <c r="K299" s="23" t="str">
        <f aca="false">IF(J299="","",IF(J299&gt;=20,"CRITICAL",IF(J299&gt;=12,"HIGH",IF(J299&gt;=6,"MEDIUM","LOW"))))</f>
        <v>LOW</v>
      </c>
      <c r="L299" s="23"/>
      <c r="M299" s="23"/>
      <c r="N299" s="23" t="n">
        <f aca="false">IF(J299="","",MAX(1,J299-IFERROR(M299*2,0)))</f>
        <v>1</v>
      </c>
      <c r="O299" s="23" t="str">
        <f aca="false">IF(N299="","",IF(N299&gt;=16,"CRITICAL",IF(N299&gt;=8,"HIGH",IF(N299&gt;=4,"MEDIUM","LOW"))))</f>
        <v>LOW</v>
      </c>
      <c r="P299" s="23"/>
      <c r="Q299" s="23"/>
      <c r="R299" s="23"/>
      <c r="S299" s="23"/>
      <c r="T299" s="128" t="s">
        <v>1706</v>
      </c>
      <c r="U299" s="23"/>
      <c r="V299" s="23"/>
    </row>
    <row r="300" customFormat="false" ht="45" hidden="false" customHeight="true" outlineLevel="0" collapsed="false">
      <c r="A300" s="47" t="s">
        <v>2252</v>
      </c>
      <c r="B300" s="126" t="s">
        <v>1034</v>
      </c>
      <c r="C300" s="32" t="s">
        <v>939</v>
      </c>
      <c r="D300" s="32" t="s">
        <v>2253</v>
      </c>
      <c r="E300" s="32"/>
      <c r="F300" s="32"/>
      <c r="G300" s="32"/>
      <c r="H300" s="32"/>
      <c r="I300" s="32"/>
      <c r="J300" s="32" t="n">
        <f aca="false">H300*I300</f>
        <v>0</v>
      </c>
      <c r="K300" s="32" t="str">
        <f aca="false">IF(J300="","",IF(J300&gt;=20,"CRITICAL",IF(J300&gt;=12,"HIGH",IF(J300&gt;=6,"MEDIUM","LOW"))))</f>
        <v>LOW</v>
      </c>
      <c r="L300" s="32"/>
      <c r="M300" s="32"/>
      <c r="N300" s="32" t="n">
        <f aca="false">IF(J300="","",MAX(1,J300-IFERROR(M300*2,0)))</f>
        <v>1</v>
      </c>
      <c r="O300" s="32" t="str">
        <f aca="false">IF(N300="","",IF(N300&gt;=16,"CRITICAL",IF(N300&gt;=8,"HIGH",IF(N300&gt;=4,"MEDIUM","LOW"))))</f>
        <v>LOW</v>
      </c>
      <c r="P300" s="32"/>
      <c r="Q300" s="32"/>
      <c r="R300" s="32"/>
      <c r="S300" s="32"/>
      <c r="T300" s="128" t="s">
        <v>1706</v>
      </c>
      <c r="U300" s="32"/>
      <c r="V300" s="32"/>
    </row>
    <row r="301" customFormat="false" ht="45" hidden="false" customHeight="true" outlineLevel="0" collapsed="false">
      <c r="A301" s="45" t="s">
        <v>2254</v>
      </c>
      <c r="B301" s="127" t="s">
        <v>1037</v>
      </c>
      <c r="C301" s="23" t="s">
        <v>939</v>
      </c>
      <c r="D301" s="23" t="s">
        <v>2255</v>
      </c>
      <c r="E301" s="23"/>
      <c r="F301" s="23"/>
      <c r="G301" s="23"/>
      <c r="H301" s="23"/>
      <c r="I301" s="23"/>
      <c r="J301" s="23" t="n">
        <f aca="false">H301*I301</f>
        <v>0</v>
      </c>
      <c r="K301" s="23" t="str">
        <f aca="false">IF(J301="","",IF(J301&gt;=20,"CRITICAL",IF(J301&gt;=12,"HIGH",IF(J301&gt;=6,"MEDIUM","LOW"))))</f>
        <v>LOW</v>
      </c>
      <c r="L301" s="23"/>
      <c r="M301" s="23"/>
      <c r="N301" s="23" t="n">
        <f aca="false">IF(J301="","",MAX(1,J301-IFERROR(M301*2,0)))</f>
        <v>1</v>
      </c>
      <c r="O301" s="23" t="str">
        <f aca="false">IF(N301="","",IF(N301&gt;=16,"CRITICAL",IF(N301&gt;=8,"HIGH",IF(N301&gt;=4,"MEDIUM","LOW"))))</f>
        <v>LOW</v>
      </c>
      <c r="P301" s="23"/>
      <c r="Q301" s="23"/>
      <c r="R301" s="23"/>
      <c r="S301" s="23"/>
      <c r="T301" s="128" t="s">
        <v>1706</v>
      </c>
      <c r="U301" s="23"/>
      <c r="V301" s="23"/>
    </row>
    <row r="302" customFormat="false" ht="45" hidden="false" customHeight="true" outlineLevel="0" collapsed="false">
      <c r="A302" s="47" t="s">
        <v>2256</v>
      </c>
      <c r="B302" s="126" t="s">
        <v>1041</v>
      </c>
      <c r="C302" s="32" t="s">
        <v>939</v>
      </c>
      <c r="D302" s="32" t="s">
        <v>2257</v>
      </c>
      <c r="E302" s="32"/>
      <c r="F302" s="32"/>
      <c r="G302" s="32"/>
      <c r="H302" s="32"/>
      <c r="I302" s="32"/>
      <c r="J302" s="32" t="n">
        <f aca="false">H302*I302</f>
        <v>0</v>
      </c>
      <c r="K302" s="32" t="str">
        <f aca="false">IF(J302="","",IF(J302&gt;=20,"CRITICAL",IF(J302&gt;=12,"HIGH",IF(J302&gt;=6,"MEDIUM","LOW"))))</f>
        <v>LOW</v>
      </c>
      <c r="L302" s="32"/>
      <c r="M302" s="32"/>
      <c r="N302" s="32" t="n">
        <f aca="false">IF(J302="","",MAX(1,J302-IFERROR(M302*2,0)))</f>
        <v>1</v>
      </c>
      <c r="O302" s="32" t="str">
        <f aca="false">IF(N302="","",IF(N302&gt;=16,"CRITICAL",IF(N302&gt;=8,"HIGH",IF(N302&gt;=4,"MEDIUM","LOW"))))</f>
        <v>LOW</v>
      </c>
      <c r="P302" s="32"/>
      <c r="Q302" s="32"/>
      <c r="R302" s="32"/>
      <c r="S302" s="32"/>
      <c r="T302" s="128" t="s">
        <v>1706</v>
      </c>
      <c r="U302" s="32"/>
      <c r="V302" s="32"/>
    </row>
    <row r="303" customFormat="false" ht="45" hidden="false" customHeight="true" outlineLevel="0" collapsed="false">
      <c r="A303" s="45" t="s">
        <v>2258</v>
      </c>
      <c r="B303" s="127" t="s">
        <v>1044</v>
      </c>
      <c r="C303" s="23" t="s">
        <v>939</v>
      </c>
      <c r="D303" s="23" t="s">
        <v>2259</v>
      </c>
      <c r="E303" s="23"/>
      <c r="F303" s="23"/>
      <c r="G303" s="23"/>
      <c r="H303" s="23"/>
      <c r="I303" s="23"/>
      <c r="J303" s="23" t="n">
        <f aca="false">H303*I303</f>
        <v>0</v>
      </c>
      <c r="K303" s="23" t="str">
        <f aca="false">IF(J303="","",IF(J303&gt;=20,"CRITICAL",IF(J303&gt;=12,"HIGH",IF(J303&gt;=6,"MEDIUM","LOW"))))</f>
        <v>LOW</v>
      </c>
      <c r="L303" s="23"/>
      <c r="M303" s="23"/>
      <c r="N303" s="23" t="n">
        <f aca="false">IF(J303="","",MAX(1,J303-IFERROR(M303*2,0)))</f>
        <v>1</v>
      </c>
      <c r="O303" s="23" t="str">
        <f aca="false">IF(N303="","",IF(N303&gt;=16,"CRITICAL",IF(N303&gt;=8,"HIGH",IF(N303&gt;=4,"MEDIUM","LOW"))))</f>
        <v>LOW</v>
      </c>
      <c r="P303" s="23"/>
      <c r="Q303" s="23"/>
      <c r="R303" s="23"/>
      <c r="S303" s="23"/>
      <c r="T303" s="128" t="s">
        <v>1706</v>
      </c>
      <c r="U303" s="23"/>
      <c r="V303" s="23"/>
    </row>
    <row r="304" customFormat="false" ht="45" hidden="false" customHeight="true" outlineLevel="0" collapsed="false">
      <c r="A304" s="47" t="s">
        <v>2260</v>
      </c>
      <c r="B304" s="126" t="s">
        <v>1047</v>
      </c>
      <c r="C304" s="32" t="s">
        <v>939</v>
      </c>
      <c r="D304" s="32" t="s">
        <v>2261</v>
      </c>
      <c r="E304" s="32"/>
      <c r="F304" s="32"/>
      <c r="G304" s="32"/>
      <c r="H304" s="32"/>
      <c r="I304" s="32"/>
      <c r="J304" s="32" t="n">
        <f aca="false">H304*I304</f>
        <v>0</v>
      </c>
      <c r="K304" s="32" t="str">
        <f aca="false">IF(J304="","",IF(J304&gt;=20,"CRITICAL",IF(J304&gt;=12,"HIGH",IF(J304&gt;=6,"MEDIUM","LOW"))))</f>
        <v>LOW</v>
      </c>
      <c r="L304" s="32"/>
      <c r="M304" s="32"/>
      <c r="N304" s="32" t="n">
        <f aca="false">IF(J304="","",MAX(1,J304-IFERROR(M304*2,0)))</f>
        <v>1</v>
      </c>
      <c r="O304" s="32" t="str">
        <f aca="false">IF(N304="","",IF(N304&gt;=16,"CRITICAL",IF(N304&gt;=8,"HIGH",IF(N304&gt;=4,"MEDIUM","LOW"))))</f>
        <v>LOW</v>
      </c>
      <c r="P304" s="32"/>
      <c r="Q304" s="32"/>
      <c r="R304" s="32"/>
      <c r="S304" s="32"/>
      <c r="T304" s="128" t="s">
        <v>1706</v>
      </c>
      <c r="U304" s="32"/>
      <c r="V304" s="32"/>
    </row>
    <row r="305" customFormat="false" ht="45" hidden="false" customHeight="true" outlineLevel="0" collapsed="false">
      <c r="A305" s="45" t="s">
        <v>2262</v>
      </c>
      <c r="B305" s="127" t="s">
        <v>1050</v>
      </c>
      <c r="C305" s="23" t="s">
        <v>939</v>
      </c>
      <c r="D305" s="23" t="s">
        <v>2263</v>
      </c>
      <c r="E305" s="23"/>
      <c r="F305" s="23"/>
      <c r="G305" s="23"/>
      <c r="H305" s="23"/>
      <c r="I305" s="23"/>
      <c r="J305" s="23" t="n">
        <f aca="false">H305*I305</f>
        <v>0</v>
      </c>
      <c r="K305" s="23" t="str">
        <f aca="false">IF(J305="","",IF(J305&gt;=20,"CRITICAL",IF(J305&gt;=12,"HIGH",IF(J305&gt;=6,"MEDIUM","LOW"))))</f>
        <v>LOW</v>
      </c>
      <c r="L305" s="23"/>
      <c r="M305" s="23"/>
      <c r="N305" s="23" t="n">
        <f aca="false">IF(J305="","",MAX(1,J305-IFERROR(M305*2,0)))</f>
        <v>1</v>
      </c>
      <c r="O305" s="23" t="str">
        <f aca="false">IF(N305="","",IF(N305&gt;=16,"CRITICAL",IF(N305&gt;=8,"HIGH",IF(N305&gt;=4,"MEDIUM","LOW"))))</f>
        <v>LOW</v>
      </c>
      <c r="P305" s="23"/>
      <c r="Q305" s="23"/>
      <c r="R305" s="23"/>
      <c r="S305" s="23"/>
      <c r="T305" s="128" t="s">
        <v>1706</v>
      </c>
      <c r="U305" s="23"/>
      <c r="V305" s="23"/>
    </row>
    <row r="306" customFormat="false" ht="45" hidden="false" customHeight="true" outlineLevel="0" collapsed="false">
      <c r="A306" s="47" t="s">
        <v>2264</v>
      </c>
      <c r="B306" s="126" t="s">
        <v>1053</v>
      </c>
      <c r="C306" s="32" t="s">
        <v>939</v>
      </c>
      <c r="D306" s="32" t="s">
        <v>2265</v>
      </c>
      <c r="E306" s="32"/>
      <c r="F306" s="32"/>
      <c r="G306" s="32"/>
      <c r="H306" s="32"/>
      <c r="I306" s="32"/>
      <c r="J306" s="32" t="n">
        <f aca="false">H306*I306</f>
        <v>0</v>
      </c>
      <c r="K306" s="32" t="str">
        <f aca="false">IF(J306="","",IF(J306&gt;=20,"CRITICAL",IF(J306&gt;=12,"HIGH",IF(J306&gt;=6,"MEDIUM","LOW"))))</f>
        <v>LOW</v>
      </c>
      <c r="L306" s="32"/>
      <c r="M306" s="32"/>
      <c r="N306" s="32" t="n">
        <f aca="false">IF(J306="","",MAX(1,J306-IFERROR(M306*2,0)))</f>
        <v>1</v>
      </c>
      <c r="O306" s="32" t="str">
        <f aca="false">IF(N306="","",IF(N306&gt;=16,"CRITICAL",IF(N306&gt;=8,"HIGH",IF(N306&gt;=4,"MEDIUM","LOW"))))</f>
        <v>LOW</v>
      </c>
      <c r="P306" s="32"/>
      <c r="Q306" s="32"/>
      <c r="R306" s="32"/>
      <c r="S306" s="32"/>
      <c r="T306" s="128" t="s">
        <v>1706</v>
      </c>
      <c r="U306" s="32"/>
      <c r="V306" s="32"/>
    </row>
    <row r="307" customFormat="false" ht="45" hidden="false" customHeight="true" outlineLevel="0" collapsed="false">
      <c r="A307" s="45" t="s">
        <v>2266</v>
      </c>
      <c r="B307" s="127" t="s">
        <v>1057</v>
      </c>
      <c r="C307" s="23" t="s">
        <v>939</v>
      </c>
      <c r="D307" s="23" t="s">
        <v>2267</v>
      </c>
      <c r="E307" s="23"/>
      <c r="F307" s="23"/>
      <c r="G307" s="23"/>
      <c r="H307" s="23"/>
      <c r="I307" s="23"/>
      <c r="J307" s="23" t="n">
        <f aca="false">H307*I307</f>
        <v>0</v>
      </c>
      <c r="K307" s="23" t="str">
        <f aca="false">IF(J307="","",IF(J307&gt;=20,"CRITICAL",IF(J307&gt;=12,"HIGH",IF(J307&gt;=6,"MEDIUM","LOW"))))</f>
        <v>LOW</v>
      </c>
      <c r="L307" s="23"/>
      <c r="M307" s="23"/>
      <c r="N307" s="23" t="n">
        <f aca="false">IF(J307="","",MAX(1,J307-IFERROR(M307*2,0)))</f>
        <v>1</v>
      </c>
      <c r="O307" s="23" t="str">
        <f aca="false">IF(N307="","",IF(N307&gt;=16,"CRITICAL",IF(N307&gt;=8,"HIGH",IF(N307&gt;=4,"MEDIUM","LOW"))))</f>
        <v>LOW</v>
      </c>
      <c r="P307" s="23"/>
      <c r="Q307" s="23"/>
      <c r="R307" s="23"/>
      <c r="S307" s="23"/>
      <c r="T307" s="128" t="s">
        <v>1706</v>
      </c>
      <c r="U307" s="23"/>
      <c r="V307" s="23"/>
    </row>
    <row r="308" customFormat="false" ht="45" hidden="false" customHeight="true" outlineLevel="0" collapsed="false">
      <c r="A308" s="47" t="s">
        <v>2268</v>
      </c>
      <c r="B308" s="126" t="s">
        <v>1060</v>
      </c>
      <c r="C308" s="32" t="s">
        <v>939</v>
      </c>
      <c r="D308" s="32" t="s">
        <v>2269</v>
      </c>
      <c r="E308" s="32"/>
      <c r="F308" s="32"/>
      <c r="G308" s="32"/>
      <c r="H308" s="32"/>
      <c r="I308" s="32"/>
      <c r="J308" s="32" t="n">
        <f aca="false">H308*I308</f>
        <v>0</v>
      </c>
      <c r="K308" s="32" t="str">
        <f aca="false">IF(J308="","",IF(J308&gt;=20,"CRITICAL",IF(J308&gt;=12,"HIGH",IF(J308&gt;=6,"MEDIUM","LOW"))))</f>
        <v>LOW</v>
      </c>
      <c r="L308" s="32"/>
      <c r="M308" s="32"/>
      <c r="N308" s="32" t="n">
        <f aca="false">IF(J308="","",MAX(1,J308-IFERROR(M308*2,0)))</f>
        <v>1</v>
      </c>
      <c r="O308" s="32" t="str">
        <f aca="false">IF(N308="","",IF(N308&gt;=16,"CRITICAL",IF(N308&gt;=8,"HIGH",IF(N308&gt;=4,"MEDIUM","LOW"))))</f>
        <v>LOW</v>
      </c>
      <c r="P308" s="32"/>
      <c r="Q308" s="32"/>
      <c r="R308" s="32"/>
      <c r="S308" s="32"/>
      <c r="T308" s="128" t="s">
        <v>1706</v>
      </c>
      <c r="U308" s="32"/>
      <c r="V308" s="32"/>
    </row>
    <row r="309" customFormat="false" ht="45" hidden="false" customHeight="true" outlineLevel="0" collapsed="false">
      <c r="A309" s="45" t="s">
        <v>2270</v>
      </c>
      <c r="B309" s="127" t="s">
        <v>1063</v>
      </c>
      <c r="C309" s="23" t="s">
        <v>939</v>
      </c>
      <c r="D309" s="23" t="s">
        <v>2271</v>
      </c>
      <c r="E309" s="23"/>
      <c r="F309" s="23"/>
      <c r="G309" s="23"/>
      <c r="H309" s="23"/>
      <c r="I309" s="23"/>
      <c r="J309" s="23" t="n">
        <f aca="false">H309*I309</f>
        <v>0</v>
      </c>
      <c r="K309" s="23" t="str">
        <f aca="false">IF(J309="","",IF(J309&gt;=20,"CRITICAL",IF(J309&gt;=12,"HIGH",IF(J309&gt;=6,"MEDIUM","LOW"))))</f>
        <v>LOW</v>
      </c>
      <c r="L309" s="23"/>
      <c r="M309" s="23"/>
      <c r="N309" s="23" t="n">
        <f aca="false">IF(J309="","",MAX(1,J309-IFERROR(M309*2,0)))</f>
        <v>1</v>
      </c>
      <c r="O309" s="23" t="str">
        <f aca="false">IF(N309="","",IF(N309&gt;=16,"CRITICAL",IF(N309&gt;=8,"HIGH",IF(N309&gt;=4,"MEDIUM","LOW"))))</f>
        <v>LOW</v>
      </c>
      <c r="P309" s="23"/>
      <c r="Q309" s="23"/>
      <c r="R309" s="23"/>
      <c r="S309" s="23"/>
      <c r="T309" s="128" t="s">
        <v>1706</v>
      </c>
      <c r="U309" s="23"/>
      <c r="V309" s="23"/>
    </row>
    <row r="310" customFormat="false" ht="45" hidden="false" customHeight="true" outlineLevel="0" collapsed="false">
      <c r="A310" s="47" t="s">
        <v>2272</v>
      </c>
      <c r="B310" s="126" t="s">
        <v>1066</v>
      </c>
      <c r="C310" s="32" t="s">
        <v>939</v>
      </c>
      <c r="D310" s="32" t="s">
        <v>2273</v>
      </c>
      <c r="E310" s="32"/>
      <c r="F310" s="32"/>
      <c r="G310" s="32"/>
      <c r="H310" s="32"/>
      <c r="I310" s="32"/>
      <c r="J310" s="32" t="n">
        <f aca="false">H310*I310</f>
        <v>0</v>
      </c>
      <c r="K310" s="32" t="str">
        <f aca="false">IF(J310="","",IF(J310&gt;=20,"CRITICAL",IF(J310&gt;=12,"HIGH",IF(J310&gt;=6,"MEDIUM","LOW"))))</f>
        <v>LOW</v>
      </c>
      <c r="L310" s="32"/>
      <c r="M310" s="32"/>
      <c r="N310" s="32" t="n">
        <f aca="false">IF(J310="","",MAX(1,J310-IFERROR(M310*2,0)))</f>
        <v>1</v>
      </c>
      <c r="O310" s="32" t="str">
        <f aca="false">IF(N310="","",IF(N310&gt;=16,"CRITICAL",IF(N310&gt;=8,"HIGH",IF(N310&gt;=4,"MEDIUM","LOW"))))</f>
        <v>LOW</v>
      </c>
      <c r="P310" s="32"/>
      <c r="Q310" s="32"/>
      <c r="R310" s="32"/>
      <c r="S310" s="32"/>
      <c r="T310" s="128" t="s">
        <v>1706</v>
      </c>
      <c r="U310" s="32"/>
      <c r="V310" s="32"/>
    </row>
    <row r="311" customFormat="false" ht="45" hidden="false" customHeight="true" outlineLevel="0" collapsed="false">
      <c r="A311" s="45" t="s">
        <v>2274</v>
      </c>
      <c r="B311" s="127" t="s">
        <v>1069</v>
      </c>
      <c r="C311" s="23" t="s">
        <v>939</v>
      </c>
      <c r="D311" s="23" t="s">
        <v>2275</v>
      </c>
      <c r="E311" s="23"/>
      <c r="F311" s="23"/>
      <c r="G311" s="23"/>
      <c r="H311" s="23"/>
      <c r="I311" s="23"/>
      <c r="J311" s="23" t="n">
        <f aca="false">H311*I311</f>
        <v>0</v>
      </c>
      <c r="K311" s="23" t="str">
        <f aca="false">IF(J311="","",IF(J311&gt;=20,"CRITICAL",IF(J311&gt;=12,"HIGH",IF(J311&gt;=6,"MEDIUM","LOW"))))</f>
        <v>LOW</v>
      </c>
      <c r="L311" s="23"/>
      <c r="M311" s="23"/>
      <c r="N311" s="23" t="n">
        <f aca="false">IF(J311="","",MAX(1,J311-IFERROR(M311*2,0)))</f>
        <v>1</v>
      </c>
      <c r="O311" s="23" t="str">
        <f aca="false">IF(N311="","",IF(N311&gt;=16,"CRITICAL",IF(N311&gt;=8,"HIGH",IF(N311&gt;=4,"MEDIUM","LOW"))))</f>
        <v>LOW</v>
      </c>
      <c r="P311" s="23"/>
      <c r="Q311" s="23"/>
      <c r="R311" s="23"/>
      <c r="S311" s="23"/>
      <c r="T311" s="128" t="s">
        <v>1706</v>
      </c>
      <c r="U311" s="23"/>
      <c r="V311" s="23"/>
    </row>
    <row r="312" customFormat="false" ht="45" hidden="false" customHeight="true" outlineLevel="0" collapsed="false">
      <c r="A312" s="47" t="s">
        <v>2276</v>
      </c>
      <c r="B312" s="126" t="s">
        <v>1072</v>
      </c>
      <c r="C312" s="32" t="s">
        <v>939</v>
      </c>
      <c r="D312" s="32" t="s">
        <v>2277</v>
      </c>
      <c r="E312" s="32"/>
      <c r="F312" s="32"/>
      <c r="G312" s="32"/>
      <c r="H312" s="32"/>
      <c r="I312" s="32"/>
      <c r="J312" s="32" t="n">
        <f aca="false">H312*I312</f>
        <v>0</v>
      </c>
      <c r="K312" s="32" t="str">
        <f aca="false">IF(J312="","",IF(J312&gt;=20,"CRITICAL",IF(J312&gt;=12,"HIGH",IF(J312&gt;=6,"MEDIUM","LOW"))))</f>
        <v>LOW</v>
      </c>
      <c r="L312" s="32"/>
      <c r="M312" s="32"/>
      <c r="N312" s="32" t="n">
        <f aca="false">IF(J312="","",MAX(1,J312-IFERROR(M312*2,0)))</f>
        <v>1</v>
      </c>
      <c r="O312" s="32" t="str">
        <f aca="false">IF(N312="","",IF(N312&gt;=16,"CRITICAL",IF(N312&gt;=8,"HIGH",IF(N312&gt;=4,"MEDIUM","LOW"))))</f>
        <v>LOW</v>
      </c>
      <c r="P312" s="32"/>
      <c r="Q312" s="32"/>
      <c r="R312" s="32"/>
      <c r="S312" s="32"/>
      <c r="T312" s="128" t="s">
        <v>1706</v>
      </c>
      <c r="U312" s="32"/>
      <c r="V312" s="32"/>
    </row>
    <row r="313" customFormat="false" ht="45" hidden="false" customHeight="true" outlineLevel="0" collapsed="false">
      <c r="A313" s="45" t="s">
        <v>2278</v>
      </c>
      <c r="B313" s="127" t="s">
        <v>1075</v>
      </c>
      <c r="C313" s="23" t="s">
        <v>939</v>
      </c>
      <c r="D313" s="23" t="s">
        <v>2279</v>
      </c>
      <c r="E313" s="23"/>
      <c r="F313" s="23"/>
      <c r="G313" s="23"/>
      <c r="H313" s="23"/>
      <c r="I313" s="23"/>
      <c r="J313" s="23" t="n">
        <f aca="false">H313*I313</f>
        <v>0</v>
      </c>
      <c r="K313" s="23" t="str">
        <f aca="false">IF(J313="","",IF(J313&gt;=20,"CRITICAL",IF(J313&gt;=12,"HIGH",IF(J313&gt;=6,"MEDIUM","LOW"))))</f>
        <v>LOW</v>
      </c>
      <c r="L313" s="23"/>
      <c r="M313" s="23"/>
      <c r="N313" s="23" t="n">
        <f aca="false">IF(J313="","",MAX(1,J313-IFERROR(M313*2,0)))</f>
        <v>1</v>
      </c>
      <c r="O313" s="23" t="str">
        <f aca="false">IF(N313="","",IF(N313&gt;=16,"CRITICAL",IF(N313&gt;=8,"HIGH",IF(N313&gt;=4,"MEDIUM","LOW"))))</f>
        <v>LOW</v>
      </c>
      <c r="P313" s="23"/>
      <c r="Q313" s="23"/>
      <c r="R313" s="23"/>
      <c r="S313" s="23"/>
      <c r="T313" s="128" t="s">
        <v>1706</v>
      </c>
      <c r="U313" s="23"/>
      <c r="V313" s="23"/>
    </row>
    <row r="314" customFormat="false" ht="45" hidden="false" customHeight="true" outlineLevel="0" collapsed="false">
      <c r="A314" s="47" t="s">
        <v>2280</v>
      </c>
      <c r="B314" s="126" t="s">
        <v>1078</v>
      </c>
      <c r="C314" s="32" t="s">
        <v>939</v>
      </c>
      <c r="D314" s="32" t="s">
        <v>2281</v>
      </c>
      <c r="E314" s="32"/>
      <c r="F314" s="32"/>
      <c r="G314" s="32"/>
      <c r="H314" s="32"/>
      <c r="I314" s="32"/>
      <c r="J314" s="32" t="n">
        <f aca="false">H314*I314</f>
        <v>0</v>
      </c>
      <c r="K314" s="32" t="str">
        <f aca="false">IF(J314="","",IF(J314&gt;=20,"CRITICAL",IF(J314&gt;=12,"HIGH",IF(J314&gt;=6,"MEDIUM","LOW"))))</f>
        <v>LOW</v>
      </c>
      <c r="L314" s="32"/>
      <c r="M314" s="32"/>
      <c r="N314" s="32" t="n">
        <f aca="false">IF(J314="","",MAX(1,J314-IFERROR(M314*2,0)))</f>
        <v>1</v>
      </c>
      <c r="O314" s="32" t="str">
        <f aca="false">IF(N314="","",IF(N314&gt;=16,"CRITICAL",IF(N314&gt;=8,"HIGH",IF(N314&gt;=4,"MEDIUM","LOW"))))</f>
        <v>LOW</v>
      </c>
      <c r="P314" s="32"/>
      <c r="Q314" s="32"/>
      <c r="R314" s="32"/>
      <c r="S314" s="32"/>
      <c r="T314" s="128" t="s">
        <v>1706</v>
      </c>
      <c r="U314" s="32"/>
      <c r="V314" s="32"/>
    </row>
    <row r="315" customFormat="false" ht="45" hidden="false" customHeight="true" outlineLevel="0" collapsed="false">
      <c r="A315" s="45" t="s">
        <v>2282</v>
      </c>
      <c r="B315" s="127" t="s">
        <v>1081</v>
      </c>
      <c r="C315" s="23" t="s">
        <v>939</v>
      </c>
      <c r="D315" s="23" t="s">
        <v>2283</v>
      </c>
      <c r="E315" s="23"/>
      <c r="F315" s="23"/>
      <c r="G315" s="23"/>
      <c r="H315" s="23"/>
      <c r="I315" s="23"/>
      <c r="J315" s="23" t="n">
        <f aca="false">H315*I315</f>
        <v>0</v>
      </c>
      <c r="K315" s="23" t="str">
        <f aca="false">IF(J315="","",IF(J315&gt;=20,"CRITICAL",IF(J315&gt;=12,"HIGH",IF(J315&gt;=6,"MEDIUM","LOW"))))</f>
        <v>LOW</v>
      </c>
      <c r="L315" s="23"/>
      <c r="M315" s="23"/>
      <c r="N315" s="23" t="n">
        <f aca="false">IF(J315="","",MAX(1,J315-IFERROR(M315*2,0)))</f>
        <v>1</v>
      </c>
      <c r="O315" s="23" t="str">
        <f aca="false">IF(N315="","",IF(N315&gt;=16,"CRITICAL",IF(N315&gt;=8,"HIGH",IF(N315&gt;=4,"MEDIUM","LOW"))))</f>
        <v>LOW</v>
      </c>
      <c r="P315" s="23"/>
      <c r="Q315" s="23"/>
      <c r="R315" s="23"/>
      <c r="S315" s="23"/>
      <c r="T315" s="128" t="s">
        <v>1706</v>
      </c>
      <c r="U315" s="23"/>
      <c r="V315" s="23"/>
    </row>
  </sheetData>
  <mergeCells count="1">
    <mergeCell ref="A1:V2"/>
  </mergeCells>
  <dataValidations count="3">
    <dataValidation allowBlank="false" errorStyle="stop" operator="between" showDropDown="false" showErrorMessage="false" showInputMessage="false" sqref="H4:I315 M4:M315" type="decimal">
      <formula1>1</formula1>
      <formula2>5</formula2>
    </dataValidation>
    <dataValidation allowBlank="true" errorStyle="stop" operator="between" showDropDown="false" showErrorMessage="false" showInputMessage="false" sqref="P4:P315" type="list">
      <formula1>"Accept,Mitigate,Transfer,Avoid"</formula1>
      <formula2>0</formula2>
    </dataValidation>
    <dataValidation allowBlank="true" errorStyle="stop" operator="between" showDropDown="false" showErrorMessage="false" showInputMessage="false" sqref="T4:T315" type="list">
      <formula1>"Open,In Treatment,Accepted,Closed,Escalated"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12" min="3" style="0" width="22"/>
  </cols>
  <sheetData>
    <row r="1" customFormat="false" ht="15" hidden="false" customHeight="true" outlineLevel="0" collapsed="false">
      <c r="A1" s="18" t="s">
        <v>2284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customFormat="false" ht="39.75" hidden="false" customHeight="true" outlineLevel="0" collapsed="false">
      <c r="A3" s="19" t="s">
        <v>2285</v>
      </c>
      <c r="B3" s="19" t="s">
        <v>2286</v>
      </c>
      <c r="C3" s="19" t="s">
        <v>2287</v>
      </c>
      <c r="D3" s="19" t="s">
        <v>2288</v>
      </c>
      <c r="E3" s="19" t="s">
        <v>2289</v>
      </c>
      <c r="F3" s="19" t="s">
        <v>2290</v>
      </c>
      <c r="G3" s="19" t="s">
        <v>2291</v>
      </c>
      <c r="H3" s="19" t="s">
        <v>2292</v>
      </c>
      <c r="I3" s="19" t="s">
        <v>2293</v>
      </c>
      <c r="J3" s="19" t="s">
        <v>2294</v>
      </c>
      <c r="K3" s="19" t="s">
        <v>2295</v>
      </c>
      <c r="L3" s="19" t="s">
        <v>2296</v>
      </c>
    </row>
    <row r="4" customFormat="false" ht="34.5" hidden="false" customHeight="true" outlineLevel="0" collapsed="false">
      <c r="A4" s="21" t="s">
        <v>2297</v>
      </c>
      <c r="B4" s="129" t="s">
        <v>75</v>
      </c>
      <c r="C4" s="130" t="s">
        <v>2298</v>
      </c>
      <c r="D4" s="131" t="s">
        <v>2299</v>
      </c>
      <c r="E4" s="132" t="s">
        <v>2300</v>
      </c>
      <c r="F4" s="133" t="s">
        <v>2301</v>
      </c>
      <c r="G4" s="133" t="s">
        <v>2301</v>
      </c>
      <c r="H4" s="133" t="s">
        <v>2301</v>
      </c>
      <c r="I4" s="130" t="s">
        <v>2298</v>
      </c>
      <c r="J4" s="133" t="s">
        <v>2301</v>
      </c>
      <c r="K4" s="133" t="s">
        <v>2301</v>
      </c>
      <c r="L4" s="133" t="s">
        <v>2301</v>
      </c>
    </row>
    <row r="5" customFormat="false" ht="34.5" hidden="false" customHeight="true" outlineLevel="0" collapsed="false">
      <c r="A5" s="134" t="s">
        <v>2302</v>
      </c>
      <c r="B5" s="135" t="s">
        <v>158</v>
      </c>
      <c r="C5" s="130" t="s">
        <v>2298</v>
      </c>
      <c r="D5" s="131" t="s">
        <v>2299</v>
      </c>
      <c r="E5" s="132" t="s">
        <v>2300</v>
      </c>
      <c r="F5" s="130" t="s">
        <v>2298</v>
      </c>
      <c r="G5" s="133" t="s">
        <v>2301</v>
      </c>
      <c r="H5" s="133" t="s">
        <v>2301</v>
      </c>
      <c r="I5" s="130" t="s">
        <v>2298</v>
      </c>
      <c r="J5" s="133" t="s">
        <v>2301</v>
      </c>
      <c r="K5" s="133" t="s">
        <v>2301</v>
      </c>
      <c r="L5" s="133" t="s">
        <v>2301</v>
      </c>
    </row>
    <row r="6" customFormat="false" ht="34.5" hidden="false" customHeight="true" outlineLevel="0" collapsed="false">
      <c r="A6" s="136" t="s">
        <v>2303</v>
      </c>
      <c r="B6" s="137" t="s">
        <v>204</v>
      </c>
      <c r="C6" s="132" t="s">
        <v>2300</v>
      </c>
      <c r="D6" s="130" t="s">
        <v>2298</v>
      </c>
      <c r="E6" s="133" t="s">
        <v>2301</v>
      </c>
      <c r="F6" s="131" t="s">
        <v>2299</v>
      </c>
      <c r="G6" s="133" t="s">
        <v>2301</v>
      </c>
      <c r="H6" s="133" t="s">
        <v>2301</v>
      </c>
      <c r="I6" s="130" t="s">
        <v>2298</v>
      </c>
      <c r="J6" s="133" t="s">
        <v>2301</v>
      </c>
      <c r="K6" s="133" t="s">
        <v>2301</v>
      </c>
      <c r="L6" s="130" t="s">
        <v>2298</v>
      </c>
    </row>
    <row r="7" customFormat="false" ht="34.5" hidden="false" customHeight="true" outlineLevel="0" collapsed="false">
      <c r="A7" s="138" t="s">
        <v>2304</v>
      </c>
      <c r="B7" s="139" t="s">
        <v>322</v>
      </c>
      <c r="C7" s="132" t="s">
        <v>2300</v>
      </c>
      <c r="D7" s="130" t="s">
        <v>2298</v>
      </c>
      <c r="E7" s="131" t="s">
        <v>2299</v>
      </c>
      <c r="F7" s="130" t="s">
        <v>2298</v>
      </c>
      <c r="G7" s="133" t="s">
        <v>2301</v>
      </c>
      <c r="H7" s="133" t="s">
        <v>2301</v>
      </c>
      <c r="I7" s="130" t="s">
        <v>2298</v>
      </c>
      <c r="J7" s="133" t="s">
        <v>2301</v>
      </c>
      <c r="K7" s="133" t="s">
        <v>2301</v>
      </c>
      <c r="L7" s="130" t="s">
        <v>2298</v>
      </c>
    </row>
    <row r="8" customFormat="false" ht="34.5" hidden="false" customHeight="true" outlineLevel="0" collapsed="false">
      <c r="A8" s="140" t="s">
        <v>2305</v>
      </c>
      <c r="B8" s="141" t="s">
        <v>348</v>
      </c>
      <c r="C8" s="132" t="s">
        <v>2300</v>
      </c>
      <c r="D8" s="131" t="s">
        <v>2299</v>
      </c>
      <c r="E8" s="130" t="s">
        <v>2298</v>
      </c>
      <c r="F8" s="130" t="s">
        <v>2298</v>
      </c>
      <c r="G8" s="133" t="s">
        <v>2301</v>
      </c>
      <c r="H8" s="133" t="s">
        <v>2301</v>
      </c>
      <c r="I8" s="130" t="s">
        <v>2298</v>
      </c>
      <c r="J8" s="133" t="s">
        <v>2301</v>
      </c>
      <c r="K8" s="133" t="s">
        <v>2301</v>
      </c>
      <c r="L8" s="133" t="s">
        <v>2301</v>
      </c>
    </row>
    <row r="9" customFormat="false" ht="34.5" hidden="false" customHeight="true" outlineLevel="0" collapsed="false">
      <c r="A9" s="142" t="s">
        <v>2306</v>
      </c>
      <c r="B9" s="143" t="s">
        <v>404</v>
      </c>
      <c r="C9" s="130" t="s">
        <v>2298</v>
      </c>
      <c r="D9" s="130" t="s">
        <v>2298</v>
      </c>
      <c r="E9" s="133" t="s">
        <v>2301</v>
      </c>
      <c r="F9" s="144" t="s">
        <v>2307</v>
      </c>
      <c r="G9" s="133" t="s">
        <v>2301</v>
      </c>
      <c r="H9" s="133" t="s">
        <v>2301</v>
      </c>
      <c r="I9" s="130" t="s">
        <v>2298</v>
      </c>
      <c r="J9" s="133" t="s">
        <v>2301</v>
      </c>
      <c r="K9" s="133" t="s">
        <v>2301</v>
      </c>
      <c r="L9" s="133" t="s">
        <v>2301</v>
      </c>
    </row>
    <row r="10" customFormat="false" ht="34.5" hidden="false" customHeight="true" outlineLevel="0" collapsed="false">
      <c r="A10" s="145" t="s">
        <v>2308</v>
      </c>
      <c r="B10" s="146" t="s">
        <v>484</v>
      </c>
      <c r="C10" s="132" t="s">
        <v>2300</v>
      </c>
      <c r="D10" s="131" t="s">
        <v>2299</v>
      </c>
      <c r="E10" s="130" t="s">
        <v>2298</v>
      </c>
      <c r="F10" s="130" t="s">
        <v>2298</v>
      </c>
      <c r="G10" s="130" t="s">
        <v>2298</v>
      </c>
      <c r="H10" s="133" t="s">
        <v>2301</v>
      </c>
      <c r="I10" s="130" t="s">
        <v>2298</v>
      </c>
      <c r="J10" s="133" t="s">
        <v>2301</v>
      </c>
      <c r="K10" s="133" t="s">
        <v>2301</v>
      </c>
      <c r="L10" s="133" t="s">
        <v>2301</v>
      </c>
    </row>
    <row r="11" customFormat="false" ht="34.5" hidden="false" customHeight="true" outlineLevel="0" collapsed="false">
      <c r="A11" s="147" t="s">
        <v>2309</v>
      </c>
      <c r="B11" s="148" t="s">
        <v>533</v>
      </c>
      <c r="C11" s="132" t="s">
        <v>2300</v>
      </c>
      <c r="D11" s="131" t="s">
        <v>2299</v>
      </c>
      <c r="E11" s="130" t="s">
        <v>2298</v>
      </c>
      <c r="F11" s="130" t="s">
        <v>2298</v>
      </c>
      <c r="G11" s="130" t="s">
        <v>2298</v>
      </c>
      <c r="H11" s="133" t="s">
        <v>2301</v>
      </c>
      <c r="I11" s="130" t="s">
        <v>2298</v>
      </c>
      <c r="J11" s="133" t="s">
        <v>2301</v>
      </c>
      <c r="K11" s="133" t="s">
        <v>2301</v>
      </c>
      <c r="L11" s="133" t="s">
        <v>2301</v>
      </c>
    </row>
    <row r="12" customFormat="false" ht="34.5" hidden="false" customHeight="true" outlineLevel="0" collapsed="false">
      <c r="A12" s="149" t="s">
        <v>2310</v>
      </c>
      <c r="B12" s="150" t="s">
        <v>644</v>
      </c>
      <c r="C12" s="130" t="s">
        <v>2298</v>
      </c>
      <c r="D12" s="133" t="s">
        <v>2301</v>
      </c>
      <c r="E12" s="133" t="s">
        <v>2301</v>
      </c>
      <c r="F12" s="133" t="s">
        <v>2301</v>
      </c>
      <c r="G12" s="133" t="s">
        <v>2301</v>
      </c>
      <c r="H12" s="144" t="s">
        <v>2307</v>
      </c>
      <c r="I12" s="130" t="s">
        <v>2298</v>
      </c>
      <c r="J12" s="133" t="s">
        <v>2301</v>
      </c>
      <c r="K12" s="133" t="s">
        <v>2301</v>
      </c>
      <c r="L12" s="133" t="s">
        <v>2301</v>
      </c>
    </row>
    <row r="13" customFormat="false" ht="34.5" hidden="false" customHeight="true" outlineLevel="0" collapsed="false">
      <c r="A13" s="151" t="s">
        <v>2311</v>
      </c>
      <c r="B13" s="152" t="s">
        <v>746</v>
      </c>
      <c r="C13" s="132" t="s">
        <v>2300</v>
      </c>
      <c r="D13" s="131" t="s">
        <v>2299</v>
      </c>
      <c r="E13" s="130" t="s">
        <v>2298</v>
      </c>
      <c r="F13" s="130" t="s">
        <v>2298</v>
      </c>
      <c r="G13" s="133" t="s">
        <v>2301</v>
      </c>
      <c r="H13" s="133" t="s">
        <v>2301</v>
      </c>
      <c r="I13" s="130" t="s">
        <v>2298</v>
      </c>
      <c r="J13" s="130" t="s">
        <v>2298</v>
      </c>
      <c r="K13" s="133" t="s">
        <v>2301</v>
      </c>
      <c r="L13" s="133" t="s">
        <v>2301</v>
      </c>
    </row>
    <row r="14" customFormat="false" ht="34.5" hidden="false" customHeight="true" outlineLevel="0" collapsed="false">
      <c r="A14" s="153" t="s">
        <v>2312</v>
      </c>
      <c r="B14" s="154" t="s">
        <v>853</v>
      </c>
      <c r="C14" s="132" t="s">
        <v>2300</v>
      </c>
      <c r="D14" s="130" t="s">
        <v>2298</v>
      </c>
      <c r="E14" s="130" t="s">
        <v>2298</v>
      </c>
      <c r="F14" s="130" t="s">
        <v>2298</v>
      </c>
      <c r="G14" s="133" t="s">
        <v>2301</v>
      </c>
      <c r="H14" s="133" t="s">
        <v>2301</v>
      </c>
      <c r="I14" s="130" t="s">
        <v>2298</v>
      </c>
      <c r="J14" s="131" t="s">
        <v>2299</v>
      </c>
      <c r="K14" s="133" t="s">
        <v>2301</v>
      </c>
      <c r="L14" s="133" t="s">
        <v>2301</v>
      </c>
    </row>
    <row r="15" customFormat="false" ht="34.5" hidden="false" customHeight="true" outlineLevel="0" collapsed="false">
      <c r="A15" s="155" t="s">
        <v>2313</v>
      </c>
      <c r="B15" s="156" t="s">
        <v>939</v>
      </c>
      <c r="C15" s="131" t="s">
        <v>2299</v>
      </c>
      <c r="D15" s="130" t="s">
        <v>2298</v>
      </c>
      <c r="E15" s="130" t="s">
        <v>2298</v>
      </c>
      <c r="F15" s="130" t="s">
        <v>2298</v>
      </c>
      <c r="G15" s="130" t="s">
        <v>2298</v>
      </c>
      <c r="H15" s="130" t="s">
        <v>2298</v>
      </c>
      <c r="I15" s="132" t="s">
        <v>2300</v>
      </c>
      <c r="J15" s="130" t="s">
        <v>2298</v>
      </c>
      <c r="K15" s="133" t="s">
        <v>2301</v>
      </c>
      <c r="L15" s="133" t="s">
        <v>2301</v>
      </c>
    </row>
    <row r="17" customFormat="false" ht="15" hidden="false" customHeight="true" outlineLevel="0" collapsed="false">
      <c r="A17" s="157" t="s">
        <v>2314</v>
      </c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</row>
    <row r="18" customFormat="false" ht="15" hidden="false" customHeight="true" outlineLevel="0" collapsed="false">
      <c r="A18" s="131" t="s">
        <v>2299</v>
      </c>
      <c r="B18" s="9" t="s">
        <v>2315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5" hidden="false" customHeight="true" outlineLevel="0" collapsed="false">
      <c r="A19" s="132" t="s">
        <v>2300</v>
      </c>
      <c r="B19" s="9" t="s">
        <v>2316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true" outlineLevel="0" collapsed="false">
      <c r="A20" s="130" t="s">
        <v>2298</v>
      </c>
      <c r="B20" s="9" t="s">
        <v>2317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customFormat="false" ht="15" hidden="false" customHeight="true" outlineLevel="0" collapsed="false">
      <c r="A21" s="133" t="s">
        <v>2301</v>
      </c>
      <c r="B21" s="9" t="s">
        <v>2318</v>
      </c>
      <c r="C21" s="9"/>
      <c r="D21" s="9"/>
      <c r="E21" s="9"/>
      <c r="F21" s="9"/>
      <c r="G21" s="9"/>
      <c r="H21" s="9"/>
      <c r="I21" s="9"/>
      <c r="J21" s="9"/>
      <c r="K21" s="9"/>
      <c r="L21" s="9"/>
    </row>
  </sheetData>
  <mergeCells count="6">
    <mergeCell ref="A1:L2"/>
    <mergeCell ref="A17:L17"/>
    <mergeCell ref="B18:L18"/>
    <mergeCell ref="B19:L19"/>
    <mergeCell ref="B20:L20"/>
    <mergeCell ref="B21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2026-06-02T11:36:01Z</dcterms:created>
  <dc:creator>openpyxl</dc:creator>
  <dc:description/>
  <dc:language>en-US</dc:language>
  <cp:lastModifiedBy/>
  <dcterms:modified xsi:type="dcterms:W3CDTF">2026-06-02T11:36:06Z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